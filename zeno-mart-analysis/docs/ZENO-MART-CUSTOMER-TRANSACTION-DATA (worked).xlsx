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ME\Desktop\OQD\"/>
    </mc:Choice>
  </mc:AlternateContent>
  <xr:revisionPtr revIDLastSave="0" documentId="8_{E7C6004E-4211-4A42-9A20-59404DA5725B}" xr6:coauthVersionLast="36" xr6:coauthVersionMax="36" xr10:uidLastSave="{00000000-0000-0000-0000-000000000000}"/>
  <bookViews>
    <workbookView xWindow="0" yWindow="0" windowWidth="20490" windowHeight="7425" xr2:uid="{3EDF6733-08BB-486E-8638-421E78503931}"/>
  </bookViews>
  <sheets>
    <sheet name="Sheet1" sheetId="2" r:id="rId1"/>
    <sheet name="SalesData" sheetId="1" r:id="rId2"/>
  </sheets>
  <definedNames>
    <definedName name="ExternalData_1" localSheetId="0" hidden="1">Sheet1!$A$1:$T$36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55034-1332-4FE4-8D34-B778330E74DE}" keepAlive="1" name="Query - ZenoSalesData" description="Connection to the 'ZenoSalesData' query in the workbook." type="5" refreshedVersion="6" background="1" saveData="1">
    <dbPr connection="Provider=Microsoft.Mashup.OleDb.1;Data Source=$Workbook$;Location=ZenoSalesData;Extended Properties=&quot;&quot;" command="SELECT * FROM [ZenoSalesData]"/>
  </connection>
</connections>
</file>

<file path=xl/sharedStrings.xml><?xml version="1.0" encoding="utf-8"?>
<sst xmlns="http://schemas.openxmlformats.org/spreadsheetml/2006/main" count="594" uniqueCount="234">
  <si>
    <t>Customer ID</t>
  </si>
  <si>
    <t>Customer Date of Birth</t>
  </si>
  <si>
    <t>Email</t>
  </si>
  <si>
    <t>Gender</t>
  </si>
  <si>
    <t>Location</t>
  </si>
  <si>
    <t>Product Category</t>
  </si>
  <si>
    <t>Product Type</t>
  </si>
  <si>
    <t>Product Name</t>
  </si>
  <si>
    <t>Product Quantity</t>
  </si>
  <si>
    <t>Cost Price</t>
  </si>
  <si>
    <t>Purchase Date</t>
  </si>
  <si>
    <t>Customer Loyalty Card</t>
  </si>
  <si>
    <t>john.doe@example.com</t>
  </si>
  <si>
    <t>Male</t>
  </si>
  <si>
    <t>USA,West</t>
  </si>
  <si>
    <t>Electronics</t>
  </si>
  <si>
    <t>Laptop</t>
  </si>
  <si>
    <t>MacBook Pro</t>
  </si>
  <si>
    <t>jane.doe@example.com</t>
  </si>
  <si>
    <t>Female</t>
  </si>
  <si>
    <t>Canada,Ontario</t>
  </si>
  <si>
    <t>Beauty</t>
  </si>
  <si>
    <t>Skincare</t>
  </si>
  <si>
    <t>Moisturizer</t>
  </si>
  <si>
    <t>alice.smith@example.com</t>
  </si>
  <si>
    <t>UK,London</t>
  </si>
  <si>
    <t>Clothing</t>
  </si>
  <si>
    <t>Dress</t>
  </si>
  <si>
    <t>Maxi Dress</t>
  </si>
  <si>
    <t>bob.johnson@example.com</t>
  </si>
  <si>
    <t>Australia,New South Wales</t>
  </si>
  <si>
    <t>Books</t>
  </si>
  <si>
    <t>Fiction</t>
  </si>
  <si>
    <t>The Great Gatsby</t>
  </si>
  <si>
    <t>sarah.nguyen@example.com</t>
  </si>
  <si>
    <t>USA,East</t>
  </si>
  <si>
    <t>Sports</t>
  </si>
  <si>
    <t>Yoga Mat</t>
  </si>
  <si>
    <t>Pro Yoga Mat</t>
  </si>
  <si>
    <t>michael.chen@example.com</t>
  </si>
  <si>
    <t>Home &amp; Kitchen</t>
  </si>
  <si>
    <t>Blender</t>
  </si>
  <si>
    <t>NutriBullet</t>
  </si>
  <si>
    <t>ashley.jackson@example.com</t>
  </si>
  <si>
    <t>Canada,Quebec</t>
  </si>
  <si>
    <t>Smartphone</t>
  </si>
  <si>
    <t>iPhone 13</t>
  </si>
  <si>
    <t>david.lee@example.com</t>
  </si>
  <si>
    <t>Singapore,Central</t>
  </si>
  <si>
    <t>Running Shoes</t>
  </si>
  <si>
    <t>Nike Air Zoom</t>
  </si>
  <si>
    <t>emily.ng@example.com</t>
  </si>
  <si>
    <t>USA,Midwest</t>
  </si>
  <si>
    <t>Makeup</t>
  </si>
  <si>
    <t>Mascara</t>
  </si>
  <si>
    <t>jason.wong@example.com</t>
  </si>
  <si>
    <t>Australia,Victoria</t>
  </si>
  <si>
    <t>T-shirt</t>
  </si>
  <si>
    <t>Graphic Tee</t>
  </si>
  <si>
    <t>amy.smith@example.com</t>
  </si>
  <si>
    <t>UK,Northern England</t>
  </si>
  <si>
    <t>Headphones</t>
  </si>
  <si>
    <t>AirPods Pro</t>
  </si>
  <si>
    <t>chris.jones@example.com</t>
  </si>
  <si>
    <t>Non-fiction</t>
  </si>
  <si>
    <t>Think and Grow Rich</t>
  </si>
  <si>
    <t>sarah.li@example.com</t>
  </si>
  <si>
    <t>Coffee Maker</t>
  </si>
  <si>
    <t>Keurig K-Select</t>
  </si>
  <si>
    <t>kevin.tran@example.com</t>
  </si>
  <si>
    <t>Australia,Queensland</t>
  </si>
  <si>
    <t>Face Wash</t>
  </si>
  <si>
    <t>kelly.kim@example.com</t>
  </si>
  <si>
    <t>Singapore,West</t>
  </si>
  <si>
    <t>Jeans</t>
  </si>
  <si>
    <t>Skinny Jeans</t>
  </si>
  <si>
    <t>brian.nguyen@example.com</t>
  </si>
  <si>
    <t>USA,Northeast</t>
  </si>
  <si>
    <t>Television</t>
  </si>
  <si>
    <t>Sony X90J</t>
  </si>
  <si>
    <t>jessica.chan@example.com</t>
  </si>
  <si>
    <t>Vitamix E320</t>
  </si>
  <si>
    <t>daniel.lee@example.com</t>
  </si>
  <si>
    <t>Singapore,East</t>
  </si>
  <si>
    <t>Jacket</t>
  </si>
  <si>
    <t>Leather Jacket</t>
  </si>
  <si>
    <t>elizabeth.wong@example.com</t>
  </si>
  <si>
    <t>Fragrance</t>
  </si>
  <si>
    <t>Chanel No. 5</t>
  </si>
  <si>
    <t>ethan.kim@example.com</t>
  </si>
  <si>
    <t>Basketball</t>
  </si>
  <si>
    <t>Spalding NBA</t>
  </si>
  <si>
    <t>grace.yu@example.com</t>
  </si>
  <si>
    <t>Canada,British Columbia</t>
  </si>
  <si>
    <t>MacBook Air</t>
  </si>
  <si>
    <t>jason.lin@example.com</t>
  </si>
  <si>
    <t>Singapore,North</t>
  </si>
  <si>
    <t>Cookware</t>
  </si>
  <si>
    <t>All-Clad</t>
  </si>
  <si>
    <t>karen.kwok@example.com</t>
  </si>
  <si>
    <t>Little Black Dress</t>
  </si>
  <si>
    <t>lee.young@example.com</t>
  </si>
  <si>
    <t>michelle.lim@example.com</t>
  </si>
  <si>
    <t>Tablet</t>
  </si>
  <si>
    <t>iPad Pro</t>
  </si>
  <si>
    <t>andrew.lee@example.com</t>
  </si>
  <si>
    <t>Nike Air Max</t>
  </si>
  <si>
    <t>melissa.wong@example.com</t>
  </si>
  <si>
    <t>Breville Barista</t>
  </si>
  <si>
    <t>benjamin.ng@example.com</t>
  </si>
  <si>
    <t>UK,South East</t>
  </si>
  <si>
    <t>Urban Decay</t>
  </si>
  <si>
    <t>cheryl.tan@example.com</t>
  </si>
  <si>
    <t>iPhone 12 Pro</t>
  </si>
  <si>
    <t>kevin.kim@example.com</t>
  </si>
  <si>
    <t>Canada,Alberta</t>
  </si>
  <si>
    <t>Soccer Ball</t>
  </si>
  <si>
    <t>Adidas Tango</t>
  </si>
  <si>
    <t>tina.nguyen@example.com</t>
  </si>
  <si>
    <t>Levi's</t>
  </si>
  <si>
    <t>stephen.smith@example.com</t>
  </si>
  <si>
    <t>Vitamix A3500</t>
  </si>
  <si>
    <t>rachel.lee@example.com</t>
  </si>
  <si>
    <t>Dior J'adore</t>
  </si>
  <si>
    <t>Bose QuietComfort</t>
  </si>
  <si>
    <t xml:space="preserve">amanda.ng@example.com </t>
  </si>
  <si>
    <t>Selling Price</t>
  </si>
  <si>
    <t>Age</t>
  </si>
  <si>
    <t>FULL NAME</t>
  </si>
  <si>
    <t>Country</t>
  </si>
  <si>
    <t>Region</t>
  </si>
  <si>
    <t>Cost Per Order</t>
  </si>
  <si>
    <t>Sales Per Order</t>
  </si>
  <si>
    <t>Profit Per Order</t>
  </si>
  <si>
    <t>Year</t>
  </si>
  <si>
    <t>Have loyal card</t>
  </si>
  <si>
    <t>ZSD1</t>
  </si>
  <si>
    <t>John Doe</t>
  </si>
  <si>
    <t>USA</t>
  </si>
  <si>
    <t>West</t>
  </si>
  <si>
    <t>2022</t>
  </si>
  <si>
    <t>Yes</t>
  </si>
  <si>
    <t>ZSD2</t>
  </si>
  <si>
    <t>Jane Doe</t>
  </si>
  <si>
    <t>Canada</t>
  </si>
  <si>
    <t>Ontario</t>
  </si>
  <si>
    <t>No</t>
  </si>
  <si>
    <t>ZSD3</t>
  </si>
  <si>
    <t>Alice Smith</t>
  </si>
  <si>
    <t>UK</t>
  </si>
  <si>
    <t>London</t>
  </si>
  <si>
    <t>ZSD4</t>
  </si>
  <si>
    <t>Bob Johnson</t>
  </si>
  <si>
    <t>Australia</t>
  </si>
  <si>
    <t>New South Wales</t>
  </si>
  <si>
    <t>ZSD5</t>
  </si>
  <si>
    <t>Sarah Nguyen</t>
  </si>
  <si>
    <t>East</t>
  </si>
  <si>
    <t>ZSD6</t>
  </si>
  <si>
    <t>Michael Chen</t>
  </si>
  <si>
    <t>ZSD7</t>
  </si>
  <si>
    <t>Ashley Jackson</t>
  </si>
  <si>
    <t>Quebec</t>
  </si>
  <si>
    <t>ZSD8</t>
  </si>
  <si>
    <t>David Lee</t>
  </si>
  <si>
    <t>Singapore</t>
  </si>
  <si>
    <t>Central</t>
  </si>
  <si>
    <t>ZSD9</t>
  </si>
  <si>
    <t>Emily Ng</t>
  </si>
  <si>
    <t>Midwest</t>
  </si>
  <si>
    <t>ZSD10</t>
  </si>
  <si>
    <t>Jason Wong</t>
  </si>
  <si>
    <t>Victoria</t>
  </si>
  <si>
    <t>ZSD11</t>
  </si>
  <si>
    <t>Amy Smith</t>
  </si>
  <si>
    <t>Northern England</t>
  </si>
  <si>
    <t>ZSD12</t>
  </si>
  <si>
    <t>Chris Jones</t>
  </si>
  <si>
    <t>ZSD13</t>
  </si>
  <si>
    <t>Sarah Li</t>
  </si>
  <si>
    <t>ZSD14</t>
  </si>
  <si>
    <t>Kevin Tran</t>
  </si>
  <si>
    <t>Queensland</t>
  </si>
  <si>
    <t>ZSD15</t>
  </si>
  <si>
    <t>Kelly Kim</t>
  </si>
  <si>
    <t>ZSD16</t>
  </si>
  <si>
    <t>Brian Nguyen</t>
  </si>
  <si>
    <t>Northeast</t>
  </si>
  <si>
    <t>ZSD17</t>
  </si>
  <si>
    <t>Jessica Chan</t>
  </si>
  <si>
    <t>ZSD18</t>
  </si>
  <si>
    <t>Daniel Lee</t>
  </si>
  <si>
    <t>ZSD19</t>
  </si>
  <si>
    <t>Elizabeth Wong</t>
  </si>
  <si>
    <t>ZSD20</t>
  </si>
  <si>
    <t>Ethan Kim</t>
  </si>
  <si>
    <t>ZSD21</t>
  </si>
  <si>
    <t>Grace Yu</t>
  </si>
  <si>
    <t>British Columbia</t>
  </si>
  <si>
    <t>ZSD22</t>
  </si>
  <si>
    <t>Jason Lin</t>
  </si>
  <si>
    <t>North</t>
  </si>
  <si>
    <t>ZSD23</t>
  </si>
  <si>
    <t>Karen Kwok</t>
  </si>
  <si>
    <t>ZSD24</t>
  </si>
  <si>
    <t>Lee Young</t>
  </si>
  <si>
    <t>ZSD25</t>
  </si>
  <si>
    <t>Michelle Lim</t>
  </si>
  <si>
    <t>ZSD26</t>
  </si>
  <si>
    <t>Andrew Lee</t>
  </si>
  <si>
    <t>ZSD27</t>
  </si>
  <si>
    <t>Melissa Wong</t>
  </si>
  <si>
    <t>2021</t>
  </si>
  <si>
    <t>ZSD28</t>
  </si>
  <si>
    <t>Benjamin Ng</t>
  </si>
  <si>
    <t>South East</t>
  </si>
  <si>
    <t>2019</t>
  </si>
  <si>
    <t>ZSD29</t>
  </si>
  <si>
    <t>Cheryl Tan</t>
  </si>
  <si>
    <t>2018</t>
  </si>
  <si>
    <t>ZSD30</t>
  </si>
  <si>
    <t>Kevin Kim</t>
  </si>
  <si>
    <t>Alberta</t>
  </si>
  <si>
    <t>2017</t>
  </si>
  <si>
    <t>ZSD31</t>
  </si>
  <si>
    <t>Tina Nguyen</t>
  </si>
  <si>
    <t>2016</t>
  </si>
  <si>
    <t>ZSD32</t>
  </si>
  <si>
    <t>Stephen Smith</t>
  </si>
  <si>
    <t>ZSD33</t>
  </si>
  <si>
    <t>Rachel Lee</t>
  </si>
  <si>
    <t>ZSD34</t>
  </si>
  <si>
    <t>ZSD35</t>
  </si>
  <si>
    <t>Amanda 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</si>
</sst>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0" fontId="1" fillId="2" borderId="0" xfId="0" applyFont="1" applyFill="1" applyAlignment="1">
      <alignment vertical="center"/>
    </xf>
    <xf numFmtId="0" fontId="4" fillId="3" borderId="0" xfId="0" applyFont="1" applyFill="1"/>
    <xf numFmtId="164" fontId="1" fillId="2" borderId="0" xfId="0" applyNumberFormat="1" applyFont="1" applyFill="1" applyAlignment="1">
      <alignment vertical="center"/>
    </xf>
    <xf numFmtId="164" fontId="0" fillId="0" borderId="0" xfId="0" applyNumberFormat="1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26">
    <dxf>
      <numFmt numFmtId="164" formatCode="dd/mm/yyyy;@"/>
      <alignment horizontal="left" vertical="center" textRotation="0" wrapText="0" indent="0" justifyLastLine="0" shrinkToFit="0" readingOrder="0"/>
    </dxf>
    <dxf>
      <numFmt numFmtId="164" formatCode="dd/mm/yy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164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6505EF-DB75-442F-9239-A54BD24DD462}" autoFormatId="16" applyNumberFormats="0" applyBorderFormats="0" applyFontFormats="0" applyPatternFormats="0" applyAlignmentFormats="0" applyWidthHeightFormats="0">
  <queryTableRefresh nextId="21">
    <queryTableFields count="20">
      <queryTableField id="1" name="Customer ID" tableColumnId="1"/>
      <queryTableField id="2" name="Customer Date of Birth" tableColumnId="2"/>
      <queryTableField id="3" name="FULL NAME" tableColumnId="3"/>
      <queryTableField id="4" name="Gender" tableColumnId="4"/>
      <queryTableField id="5" name="Country" tableColumnId="5"/>
      <queryTableField id="6" name="Region" tableColumnId="6"/>
      <queryTableField id="7" name="Product Category" tableColumnId="7"/>
      <queryTableField id="8" name="Product Type" tableColumnId="8"/>
      <queryTableField id="9" name="Product Name" tableColumnId="9"/>
      <queryTableField id="10" name="Product Quantity" tableColumnId="10"/>
      <queryTableField id="11" name="Cost Price" tableColumnId="11"/>
      <queryTableField id="12" name="Selling Price" tableColumnId="12"/>
      <queryTableField id="13" name="Cost Per Order" tableColumnId="13"/>
      <queryTableField id="14" name="Sales Per Order" tableColumnId="14"/>
      <queryTableField id="15" name="Profit Per Order" tableColumnId="15"/>
      <queryTableField id="16" name="Purchase Date" tableColumnId="16"/>
      <queryTableField id="17" name="Year" tableColumnId="17"/>
      <queryTableField id="18" name="Customer Loyalty Card" tableColumnId="18"/>
      <queryTableField id="19" name="Age" tableColumnId="19"/>
      <queryTableField id="20" name="Have loyal car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4FF1F-6956-4FE8-8243-3C0D556CCF60}" name="ZenoSalesData_2" displayName="ZenoSalesData_2" ref="A1:T36" tableType="queryTable" totalsRowShown="0" headerRowDxfId="21" dataDxfId="20">
  <autoFilter ref="A1:T36" xr:uid="{BAA74ED0-0339-48FC-86B0-CF84645C80D0}"/>
  <tableColumns count="20">
    <tableColumn id="1" xr3:uid="{9BF25F88-D950-4408-A180-2F3385045E82}" uniqueName="1" name="Customer ID" queryTableFieldId="1" dataDxfId="19"/>
    <tableColumn id="2" xr3:uid="{BD9E67F1-0727-4358-B44D-71E72CBED8F2}" uniqueName="2" name="Customer Date of Birth" queryTableFieldId="2" dataDxfId="1"/>
    <tableColumn id="3" xr3:uid="{D67DA5FC-7FB5-4024-95A0-030B5CE5F9D6}" uniqueName="3" name="FULL NAME" queryTableFieldId="3" dataDxfId="18"/>
    <tableColumn id="4" xr3:uid="{D33A672A-F463-4358-BF17-EA338E2E7DCC}" uniqueName="4" name="Gender" queryTableFieldId="4" dataDxfId="17"/>
    <tableColumn id="5" xr3:uid="{FCB5DF3F-B32A-477C-8C3C-5D35A895B777}" uniqueName="5" name="Country" queryTableFieldId="5" dataDxfId="16"/>
    <tableColumn id="6" xr3:uid="{A780283F-B429-4AB0-920A-5BA3472989BA}" uniqueName="6" name="Region" queryTableFieldId="6" dataDxfId="15"/>
    <tableColumn id="7" xr3:uid="{287D1647-A059-40EE-858E-224155C2DBDA}" uniqueName="7" name="Product Category" queryTableFieldId="7" dataDxfId="14"/>
    <tableColumn id="8" xr3:uid="{5B12C22B-4537-473C-92D9-16704947EB32}" uniqueName="8" name="Product Type" queryTableFieldId="8" dataDxfId="13"/>
    <tableColumn id="9" xr3:uid="{EB618673-9DA7-4121-9C92-A30977D8E33F}" uniqueName="9" name="Product Name" queryTableFieldId="9" dataDxfId="12"/>
    <tableColumn id="10" xr3:uid="{AE26E7EA-F1F7-4155-AEE6-2871E77A7168}" uniqueName="10" name="Product Quantity" queryTableFieldId="10" dataDxfId="11"/>
    <tableColumn id="11" xr3:uid="{67B883E1-A587-43C9-B321-F414DADAAE79}" uniqueName="11" name="Cost Price" queryTableFieldId="11" dataDxfId="10"/>
    <tableColumn id="12" xr3:uid="{9FE15C97-B009-415C-9B97-C3277969EFB4}" uniqueName="12" name="Selling Price" queryTableFieldId="12" dataDxfId="9"/>
    <tableColumn id="13" xr3:uid="{F82F2440-2054-4EB5-BDBF-E2CDA5C7E3D8}" uniqueName="13" name="Cost Per Order" queryTableFieldId="13" dataDxfId="8"/>
    <tableColumn id="14" xr3:uid="{11455C7E-CC86-4887-90F7-6CDAB08BA536}" uniqueName="14" name="Sales Per Order" queryTableFieldId="14" dataDxfId="7"/>
    <tableColumn id="15" xr3:uid="{15256057-1036-4246-A992-AE40C50608E4}" uniqueName="15" name="Profit Per Order" queryTableFieldId="15" dataDxfId="6"/>
    <tableColumn id="16" xr3:uid="{6E8FEE58-A993-40F5-B32E-8B5A5B9C4DF3}" uniqueName="16" name="Purchase Date" queryTableFieldId="16" dataDxfId="0"/>
    <tableColumn id="17" xr3:uid="{44136551-B215-4843-9116-98AA92EA1CA4}" uniqueName="17" name="Year" queryTableFieldId="17" dataDxfId="5"/>
    <tableColumn id="18" xr3:uid="{BEB215F6-08F7-4D79-9FFF-8F0D5DB90B66}" uniqueName="18" name="Customer Loyalty Card" queryTableFieldId="18" dataDxfId="4"/>
    <tableColumn id="19" xr3:uid="{B6FFE124-84B2-4E1C-9D96-EA1F318BE6C4}" uniqueName="19" name="Age" queryTableFieldId="19" dataDxfId="3"/>
    <tableColumn id="20" xr3:uid="{C581AEEB-D309-4AEE-9B48-1C1FFAD5C29C}" uniqueName="20" name="Have loyal card" queryTableFieldId="20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8BD1C-E244-48F2-9538-082E0993B260}" name="ZenoSalesData" displayName="ZenoSalesData" ref="A1:N36" totalsRowShown="0" headerRowDxfId="25">
  <autoFilter ref="A1:N36" xr:uid="{1BC0F523-CC70-40B6-8E32-DA524817F72B}"/>
  <tableColumns count="14">
    <tableColumn id="1" xr3:uid="{D730DB2E-01DE-4A60-A41C-6309D4A60C8F}" name="Customer ID" dataDxfId="24"/>
    <tableColumn id="2" xr3:uid="{AC3D3DD2-4557-4641-B4C2-8C91B1491F53}" name="Customer Date of Birth" dataDxfId="23"/>
    <tableColumn id="3" xr3:uid="{6868B135-2E2E-4FC9-8FC9-C5F6194F2BAB}" name="Email"/>
    <tableColumn id="4" xr3:uid="{2E0DD365-38DA-4B08-BD30-2333762FD041}" name="Gender"/>
    <tableColumn id="5" xr3:uid="{86660A5A-BA41-475A-A5A2-BA2848D23E39}" name="Location"/>
    <tableColumn id="6" xr3:uid="{924C1A57-93A2-4EB1-A5CA-2710A74B38CF}" name="Product Category"/>
    <tableColumn id="7" xr3:uid="{8AE4F43B-E75C-4CEB-B7AE-F0158694BE1D}" name="Product Type"/>
    <tableColumn id="8" xr3:uid="{69DC0CC0-0909-4931-8A32-6C1A14552A04}" name="Product Name"/>
    <tableColumn id="9" xr3:uid="{79A7A499-12D8-466D-943A-14E9C0BD9375}" name="Product Quantity"/>
    <tableColumn id="10" xr3:uid="{8C9004CD-54FF-47C6-AF1C-A7EE70EF4935}" name="Cost Price"/>
    <tableColumn id="11" xr3:uid="{B092ABD7-7D2B-44AC-A235-8A8A45C9B006}" name="Selling Price"/>
    <tableColumn id="12" xr3:uid="{32C023DA-5CE0-4C89-8227-3D427D47D731}" name="Purchase Date"/>
    <tableColumn id="13" xr3:uid="{87A5EC65-A810-41D4-8226-DAD77F431DE7}" name="Customer Loyalty Card"/>
    <tableColumn id="14" xr3:uid="{49C5207B-71AF-475C-B05A-C72264A4BF3A}" name="Age" dataDxfId="22">
      <calculatedColumnFormula>DATEDIF(B2,TODAY(),"Y")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33A1-F939-419A-84D3-D785C3DFC3A8}">
  <dimension ref="A1:T36"/>
  <sheetViews>
    <sheetView tabSelected="1" workbookViewId="0">
      <selection activeCell="W3" sqref="W3"/>
    </sheetView>
  </sheetViews>
  <sheetFormatPr defaultRowHeight="15" x14ac:dyDescent="0.25"/>
  <cols>
    <col min="1" max="1" width="14.140625" style="7" bestFit="1" customWidth="1"/>
    <col min="2" max="2" width="23.85546875" style="8" bestFit="1" customWidth="1"/>
    <col min="3" max="3" width="17.42578125" style="7" customWidth="1"/>
    <col min="4" max="4" width="12" style="7" customWidth="1"/>
    <col min="5" max="5" width="12.5703125" style="7" customWidth="1"/>
    <col min="6" max="6" width="18.7109375" style="7" customWidth="1"/>
    <col min="7" max="7" width="18.5703125" style="7" bestFit="1" customWidth="1"/>
    <col min="8" max="8" width="14.85546875" style="7" bestFit="1" customWidth="1"/>
    <col min="9" max="9" width="19.140625" style="7" bestFit="1" customWidth="1"/>
    <col min="10" max="10" width="18.42578125" style="7" bestFit="1" customWidth="1"/>
    <col min="11" max="11" width="12" style="7" bestFit="1" customWidth="1"/>
    <col min="12" max="12" width="14.140625" style="7" bestFit="1" customWidth="1"/>
    <col min="13" max="13" width="16.28515625" style="7" bestFit="1" customWidth="1"/>
    <col min="14" max="14" width="17" style="7" bestFit="1" customWidth="1"/>
    <col min="15" max="15" width="17.42578125" style="7" bestFit="1" customWidth="1"/>
    <col min="16" max="16" width="16" style="8" bestFit="1" customWidth="1"/>
    <col min="17" max="17" width="10.85546875" style="7" customWidth="1"/>
    <col min="18" max="18" width="23.28515625" style="7" bestFit="1" customWidth="1"/>
    <col min="19" max="19" width="8.85546875" style="7" customWidth="1"/>
    <col min="20" max="20" width="16.7109375" style="7" bestFit="1" customWidth="1"/>
    <col min="21" max="16384" width="9.140625" style="7"/>
  </cols>
  <sheetData>
    <row r="1" spans="1:20" x14ac:dyDescent="0.25">
      <c r="A1" s="7" t="s">
        <v>0</v>
      </c>
      <c r="B1" s="8" t="s">
        <v>1</v>
      </c>
      <c r="C1" s="7" t="s">
        <v>128</v>
      </c>
      <c r="D1" s="7" t="s">
        <v>3</v>
      </c>
      <c r="E1" s="7" t="s">
        <v>129</v>
      </c>
      <c r="F1" s="7" t="s">
        <v>130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126</v>
      </c>
      <c r="M1" s="7" t="s">
        <v>131</v>
      </c>
      <c r="N1" s="7" t="s">
        <v>132</v>
      </c>
      <c r="O1" s="7" t="s">
        <v>133</v>
      </c>
      <c r="P1" s="8" t="s">
        <v>10</v>
      </c>
      <c r="Q1" s="7" t="s">
        <v>134</v>
      </c>
      <c r="R1" s="7" t="s">
        <v>11</v>
      </c>
      <c r="S1" s="7" t="s">
        <v>127</v>
      </c>
      <c r="T1" s="7" t="s">
        <v>135</v>
      </c>
    </row>
    <row r="2" spans="1:20" x14ac:dyDescent="0.25">
      <c r="A2" s="7" t="s">
        <v>136</v>
      </c>
      <c r="B2" s="8">
        <v>31187</v>
      </c>
      <c r="C2" s="7" t="s">
        <v>137</v>
      </c>
      <c r="D2" s="7" t="s">
        <v>13</v>
      </c>
      <c r="E2" s="7" t="s">
        <v>138</v>
      </c>
      <c r="F2" s="7" t="s">
        <v>139</v>
      </c>
      <c r="G2" s="7" t="s">
        <v>15</v>
      </c>
      <c r="H2" s="7" t="s">
        <v>16</v>
      </c>
      <c r="I2" s="7" t="s">
        <v>17</v>
      </c>
      <c r="J2" s="7">
        <v>20</v>
      </c>
      <c r="K2" s="7">
        <v>1500</v>
      </c>
      <c r="L2" s="7">
        <v>2000</v>
      </c>
      <c r="M2" s="7">
        <v>30000</v>
      </c>
      <c r="N2" s="7">
        <v>40000</v>
      </c>
      <c r="O2" s="7">
        <v>10000</v>
      </c>
      <c r="P2" s="8">
        <v>44562</v>
      </c>
      <c r="Q2" s="7" t="s">
        <v>140</v>
      </c>
      <c r="R2" s="7">
        <v>1</v>
      </c>
      <c r="S2" s="7">
        <v>39</v>
      </c>
      <c r="T2" s="7" t="s">
        <v>141</v>
      </c>
    </row>
    <row r="3" spans="1:20" x14ac:dyDescent="0.25">
      <c r="A3" s="7" t="s">
        <v>142</v>
      </c>
      <c r="B3" s="8">
        <v>33918</v>
      </c>
      <c r="C3" s="7" t="s">
        <v>143</v>
      </c>
      <c r="D3" s="7" t="s">
        <v>19</v>
      </c>
      <c r="E3" s="7" t="s">
        <v>144</v>
      </c>
      <c r="F3" s="7" t="s">
        <v>145</v>
      </c>
      <c r="G3" s="7" t="s">
        <v>21</v>
      </c>
      <c r="H3" s="7" t="s">
        <v>22</v>
      </c>
      <c r="I3" s="7" t="s">
        <v>23</v>
      </c>
      <c r="J3" s="7">
        <v>15</v>
      </c>
      <c r="K3" s="7">
        <v>50</v>
      </c>
      <c r="L3" s="7">
        <v>80</v>
      </c>
      <c r="M3" s="7">
        <v>750</v>
      </c>
      <c r="N3" s="7">
        <v>1200</v>
      </c>
      <c r="O3" s="7">
        <v>450</v>
      </c>
      <c r="P3" s="8">
        <v>44563</v>
      </c>
      <c r="Q3" s="7" t="s">
        <v>140</v>
      </c>
      <c r="R3" s="7">
        <v>0</v>
      </c>
      <c r="S3" s="7">
        <v>31</v>
      </c>
      <c r="T3" s="7" t="s">
        <v>146</v>
      </c>
    </row>
    <row r="4" spans="1:20" x14ac:dyDescent="0.25">
      <c r="A4" s="7" t="s">
        <v>147</v>
      </c>
      <c r="B4" s="8">
        <v>28704</v>
      </c>
      <c r="C4" s="7" t="s">
        <v>148</v>
      </c>
      <c r="D4" s="7" t="s">
        <v>19</v>
      </c>
      <c r="E4" s="7" t="s">
        <v>149</v>
      </c>
      <c r="F4" s="7" t="s">
        <v>150</v>
      </c>
      <c r="G4" s="7" t="s">
        <v>26</v>
      </c>
      <c r="H4" s="7" t="s">
        <v>27</v>
      </c>
      <c r="I4" s="7" t="s">
        <v>28</v>
      </c>
      <c r="J4" s="7">
        <v>20</v>
      </c>
      <c r="K4" s="7">
        <v>100</v>
      </c>
      <c r="L4" s="7">
        <v>150</v>
      </c>
      <c r="M4" s="7">
        <v>2000</v>
      </c>
      <c r="N4" s="7">
        <v>3000</v>
      </c>
      <c r="O4" s="7">
        <v>1000</v>
      </c>
      <c r="P4" s="8">
        <v>44564</v>
      </c>
      <c r="Q4" s="7" t="s">
        <v>140</v>
      </c>
      <c r="R4" s="7">
        <v>1</v>
      </c>
      <c r="S4" s="7">
        <v>46</v>
      </c>
      <c r="T4" s="7" t="s">
        <v>141</v>
      </c>
    </row>
    <row r="5" spans="1:20" x14ac:dyDescent="0.25">
      <c r="A5" s="7" t="s">
        <v>151</v>
      </c>
      <c r="B5" s="8">
        <v>34776</v>
      </c>
      <c r="C5" s="7" t="s">
        <v>152</v>
      </c>
      <c r="D5" s="7" t="s">
        <v>13</v>
      </c>
      <c r="E5" s="7" t="s">
        <v>153</v>
      </c>
      <c r="F5" s="7" t="s">
        <v>154</v>
      </c>
      <c r="G5" s="7" t="s">
        <v>31</v>
      </c>
      <c r="H5" s="7" t="s">
        <v>32</v>
      </c>
      <c r="I5" s="7" t="s">
        <v>33</v>
      </c>
      <c r="J5" s="7">
        <v>20</v>
      </c>
      <c r="K5" s="7">
        <v>10</v>
      </c>
      <c r="L5" s="7">
        <v>15</v>
      </c>
      <c r="M5" s="7">
        <v>200</v>
      </c>
      <c r="N5" s="7">
        <v>300</v>
      </c>
      <c r="O5" s="7">
        <v>100</v>
      </c>
      <c r="P5" s="8">
        <v>44565</v>
      </c>
      <c r="Q5" s="7" t="s">
        <v>140</v>
      </c>
      <c r="R5" s="7">
        <v>0</v>
      </c>
      <c r="S5" s="7">
        <v>29</v>
      </c>
      <c r="T5" s="7" t="s">
        <v>146</v>
      </c>
    </row>
    <row r="6" spans="1:20" x14ac:dyDescent="0.25">
      <c r="A6" s="7" t="s">
        <v>155</v>
      </c>
      <c r="B6" s="8">
        <v>32759</v>
      </c>
      <c r="C6" s="7" t="s">
        <v>156</v>
      </c>
      <c r="D6" s="7" t="s">
        <v>19</v>
      </c>
      <c r="E6" s="7" t="s">
        <v>138</v>
      </c>
      <c r="F6" s="7" t="s">
        <v>157</v>
      </c>
      <c r="G6" s="7" t="s">
        <v>36</v>
      </c>
      <c r="H6" s="7" t="s">
        <v>37</v>
      </c>
      <c r="I6" s="7" t="s">
        <v>38</v>
      </c>
      <c r="J6" s="7">
        <v>15</v>
      </c>
      <c r="K6" s="7">
        <v>80</v>
      </c>
      <c r="L6" s="7">
        <v>100</v>
      </c>
      <c r="M6" s="7">
        <v>1200</v>
      </c>
      <c r="N6" s="7">
        <v>1500</v>
      </c>
      <c r="O6" s="7">
        <v>300</v>
      </c>
      <c r="P6" s="8">
        <v>44566</v>
      </c>
      <c r="Q6" s="7" t="s">
        <v>140</v>
      </c>
      <c r="R6" s="7">
        <v>1</v>
      </c>
      <c r="S6" s="7">
        <v>35</v>
      </c>
      <c r="T6" s="7" t="s">
        <v>141</v>
      </c>
    </row>
    <row r="7" spans="1:20" x14ac:dyDescent="0.25">
      <c r="A7" s="7" t="s">
        <v>158</v>
      </c>
      <c r="B7" s="8">
        <v>29245</v>
      </c>
      <c r="C7" s="7" t="s">
        <v>159</v>
      </c>
      <c r="D7" s="7" t="s">
        <v>13</v>
      </c>
      <c r="E7" s="7" t="s">
        <v>138</v>
      </c>
      <c r="F7" s="7" t="s">
        <v>139</v>
      </c>
      <c r="G7" s="7" t="s">
        <v>40</v>
      </c>
      <c r="H7" s="7" t="s">
        <v>41</v>
      </c>
      <c r="I7" s="7" t="s">
        <v>42</v>
      </c>
      <c r="J7" s="7">
        <v>20</v>
      </c>
      <c r="K7" s="7">
        <v>80</v>
      </c>
      <c r="L7" s="7">
        <v>100</v>
      </c>
      <c r="M7" s="7">
        <v>1600</v>
      </c>
      <c r="N7" s="7">
        <v>2000</v>
      </c>
      <c r="O7" s="7">
        <v>400</v>
      </c>
      <c r="P7" s="8">
        <v>44567</v>
      </c>
      <c r="Q7" s="7" t="s">
        <v>140</v>
      </c>
      <c r="R7" s="7">
        <v>0</v>
      </c>
      <c r="S7" s="7">
        <v>44</v>
      </c>
      <c r="T7" s="7" t="s">
        <v>146</v>
      </c>
    </row>
    <row r="8" spans="1:20" x14ac:dyDescent="0.25">
      <c r="A8" s="7" t="s">
        <v>160</v>
      </c>
      <c r="B8" s="8">
        <v>33336</v>
      </c>
      <c r="C8" s="7" t="s">
        <v>161</v>
      </c>
      <c r="D8" s="7" t="s">
        <v>19</v>
      </c>
      <c r="E8" s="7" t="s">
        <v>144</v>
      </c>
      <c r="F8" s="7" t="s">
        <v>162</v>
      </c>
      <c r="G8" s="7" t="s">
        <v>15</v>
      </c>
      <c r="H8" s="7" t="s">
        <v>45</v>
      </c>
      <c r="I8" s="7" t="s">
        <v>46</v>
      </c>
      <c r="J8" s="7">
        <v>20</v>
      </c>
      <c r="K8" s="7">
        <v>900</v>
      </c>
      <c r="L8" s="7">
        <v>1000</v>
      </c>
      <c r="M8" s="7">
        <v>18000</v>
      </c>
      <c r="N8" s="7">
        <v>20000</v>
      </c>
      <c r="O8" s="7">
        <v>2000</v>
      </c>
      <c r="P8" s="8">
        <v>44568</v>
      </c>
      <c r="Q8" s="7" t="s">
        <v>140</v>
      </c>
      <c r="R8" s="7">
        <v>1</v>
      </c>
      <c r="S8" s="7">
        <v>33</v>
      </c>
      <c r="T8" s="7" t="s">
        <v>141</v>
      </c>
    </row>
    <row r="9" spans="1:20" x14ac:dyDescent="0.25">
      <c r="A9" s="7" t="s">
        <v>163</v>
      </c>
      <c r="B9" s="8">
        <v>28307</v>
      </c>
      <c r="C9" s="7" t="s">
        <v>164</v>
      </c>
      <c r="D9" s="7" t="s">
        <v>13</v>
      </c>
      <c r="E9" s="7" t="s">
        <v>165</v>
      </c>
      <c r="F9" s="7" t="s">
        <v>166</v>
      </c>
      <c r="G9" s="7" t="s">
        <v>36</v>
      </c>
      <c r="H9" s="7" t="s">
        <v>49</v>
      </c>
      <c r="I9" s="7" t="s">
        <v>50</v>
      </c>
      <c r="J9" s="7">
        <v>20</v>
      </c>
      <c r="K9" s="7">
        <v>120</v>
      </c>
      <c r="L9" s="7">
        <v>150</v>
      </c>
      <c r="M9" s="7">
        <v>2400</v>
      </c>
      <c r="N9" s="7">
        <v>3000</v>
      </c>
      <c r="O9" s="7">
        <v>600</v>
      </c>
      <c r="P9" s="8">
        <v>44569</v>
      </c>
      <c r="Q9" s="7" t="s">
        <v>140</v>
      </c>
      <c r="R9" s="7">
        <v>1</v>
      </c>
      <c r="S9" s="7">
        <v>47</v>
      </c>
      <c r="T9" s="7" t="s">
        <v>141</v>
      </c>
    </row>
    <row r="10" spans="1:20" x14ac:dyDescent="0.25">
      <c r="A10" s="7" t="s">
        <v>167</v>
      </c>
      <c r="B10" s="8">
        <v>32187</v>
      </c>
      <c r="C10" s="7" t="s">
        <v>168</v>
      </c>
      <c r="D10" s="7" t="s">
        <v>19</v>
      </c>
      <c r="E10" s="7" t="s">
        <v>138</v>
      </c>
      <c r="F10" s="7" t="s">
        <v>169</v>
      </c>
      <c r="G10" s="7" t="s">
        <v>21</v>
      </c>
      <c r="H10" s="7" t="s">
        <v>53</v>
      </c>
      <c r="I10" s="7" t="s">
        <v>54</v>
      </c>
      <c r="J10" s="7">
        <v>3</v>
      </c>
      <c r="K10" s="7">
        <v>30</v>
      </c>
      <c r="L10" s="7">
        <v>40</v>
      </c>
      <c r="M10" s="7">
        <v>90</v>
      </c>
      <c r="N10" s="7">
        <v>120</v>
      </c>
      <c r="O10" s="7">
        <v>30</v>
      </c>
      <c r="P10" s="8">
        <v>44570</v>
      </c>
      <c r="Q10" s="7" t="s">
        <v>140</v>
      </c>
      <c r="R10" s="7">
        <v>0</v>
      </c>
      <c r="S10" s="7">
        <v>36</v>
      </c>
      <c r="T10" s="7" t="s">
        <v>146</v>
      </c>
    </row>
    <row r="11" spans="1:20" x14ac:dyDescent="0.25">
      <c r="A11" s="7" t="s">
        <v>170</v>
      </c>
      <c r="B11" s="8">
        <v>36314</v>
      </c>
      <c r="C11" s="7" t="s">
        <v>171</v>
      </c>
      <c r="D11" s="7" t="s">
        <v>13</v>
      </c>
      <c r="E11" s="7" t="s">
        <v>153</v>
      </c>
      <c r="F11" s="7" t="s">
        <v>172</v>
      </c>
      <c r="G11" s="7" t="s">
        <v>26</v>
      </c>
      <c r="H11" s="7" t="s">
        <v>57</v>
      </c>
      <c r="I11" s="7" t="s">
        <v>58</v>
      </c>
      <c r="J11" s="7">
        <v>15</v>
      </c>
      <c r="K11" s="7">
        <v>20</v>
      </c>
      <c r="L11" s="7">
        <v>25</v>
      </c>
      <c r="M11" s="7">
        <v>300</v>
      </c>
      <c r="N11" s="7">
        <v>375</v>
      </c>
      <c r="O11" s="7">
        <v>75</v>
      </c>
      <c r="P11" s="8">
        <v>44571</v>
      </c>
      <c r="Q11" s="7" t="s">
        <v>140</v>
      </c>
      <c r="R11" s="7">
        <v>1</v>
      </c>
      <c r="S11" s="7">
        <v>25</v>
      </c>
      <c r="T11" s="7" t="s">
        <v>141</v>
      </c>
    </row>
    <row r="12" spans="1:20" x14ac:dyDescent="0.25">
      <c r="A12" s="7" t="s">
        <v>173</v>
      </c>
      <c r="B12" s="8">
        <v>35025</v>
      </c>
      <c r="C12" s="7" t="s">
        <v>174</v>
      </c>
      <c r="D12" s="7" t="s">
        <v>19</v>
      </c>
      <c r="E12" s="7" t="s">
        <v>149</v>
      </c>
      <c r="F12" s="7" t="s">
        <v>175</v>
      </c>
      <c r="G12" s="7" t="s">
        <v>15</v>
      </c>
      <c r="H12" s="7" t="s">
        <v>61</v>
      </c>
      <c r="I12" s="7" t="s">
        <v>62</v>
      </c>
      <c r="J12" s="7">
        <v>20</v>
      </c>
      <c r="K12" s="7">
        <v>180</v>
      </c>
      <c r="L12" s="7">
        <v>200</v>
      </c>
      <c r="M12" s="7">
        <v>3600</v>
      </c>
      <c r="N12" s="7">
        <v>4000</v>
      </c>
      <c r="O12" s="7">
        <v>400</v>
      </c>
      <c r="P12" s="8">
        <v>44572</v>
      </c>
      <c r="Q12" s="7" t="s">
        <v>140</v>
      </c>
      <c r="R12" s="7">
        <v>0</v>
      </c>
      <c r="S12" s="7">
        <v>28</v>
      </c>
      <c r="T12" s="7" t="s">
        <v>146</v>
      </c>
    </row>
    <row r="13" spans="1:20" x14ac:dyDescent="0.25">
      <c r="A13" s="7" t="s">
        <v>176</v>
      </c>
      <c r="B13" s="8">
        <v>29204</v>
      </c>
      <c r="C13" s="7" t="s">
        <v>177</v>
      </c>
      <c r="D13" s="7" t="s">
        <v>13</v>
      </c>
      <c r="E13" s="7" t="s">
        <v>138</v>
      </c>
      <c r="F13" s="7" t="s">
        <v>157</v>
      </c>
      <c r="G13" s="7" t="s">
        <v>31</v>
      </c>
      <c r="H13" s="7" t="s">
        <v>64</v>
      </c>
      <c r="I13" s="7" t="s">
        <v>65</v>
      </c>
      <c r="J13" s="7">
        <v>20</v>
      </c>
      <c r="K13" s="7">
        <v>15</v>
      </c>
      <c r="L13" s="7">
        <v>20</v>
      </c>
      <c r="M13" s="7">
        <v>300</v>
      </c>
      <c r="N13" s="7">
        <v>400</v>
      </c>
      <c r="O13" s="7">
        <v>100</v>
      </c>
      <c r="P13" s="8">
        <v>44573</v>
      </c>
      <c r="Q13" s="7" t="s">
        <v>140</v>
      </c>
      <c r="R13" s="7">
        <v>1</v>
      </c>
      <c r="S13" s="7">
        <v>44</v>
      </c>
      <c r="T13" s="7" t="s">
        <v>141</v>
      </c>
    </row>
    <row r="14" spans="1:20" x14ac:dyDescent="0.25">
      <c r="A14" s="7" t="s">
        <v>178</v>
      </c>
      <c r="B14" s="8">
        <v>32048</v>
      </c>
      <c r="C14" s="7" t="s">
        <v>179</v>
      </c>
      <c r="D14" s="7" t="s">
        <v>19</v>
      </c>
      <c r="E14" s="7" t="s">
        <v>144</v>
      </c>
      <c r="F14" s="7" t="s">
        <v>145</v>
      </c>
      <c r="G14" s="7" t="s">
        <v>40</v>
      </c>
      <c r="H14" s="7" t="s">
        <v>67</v>
      </c>
      <c r="I14" s="7" t="s">
        <v>68</v>
      </c>
      <c r="J14" s="7">
        <v>20</v>
      </c>
      <c r="K14" s="7">
        <v>100</v>
      </c>
      <c r="L14" s="7">
        <v>120</v>
      </c>
      <c r="M14" s="7">
        <v>2000</v>
      </c>
      <c r="N14" s="7">
        <v>2400</v>
      </c>
      <c r="O14" s="7">
        <v>400</v>
      </c>
      <c r="P14" s="8">
        <v>44574</v>
      </c>
      <c r="Q14" s="7" t="s">
        <v>140</v>
      </c>
      <c r="R14" s="7">
        <v>1</v>
      </c>
      <c r="S14" s="7">
        <v>37</v>
      </c>
      <c r="T14" s="7" t="s">
        <v>141</v>
      </c>
    </row>
    <row r="15" spans="1:20" x14ac:dyDescent="0.25">
      <c r="A15" s="7" t="s">
        <v>180</v>
      </c>
      <c r="B15" s="8">
        <v>33731</v>
      </c>
      <c r="C15" s="7" t="s">
        <v>181</v>
      </c>
      <c r="D15" s="7" t="s">
        <v>13</v>
      </c>
      <c r="E15" s="7" t="s">
        <v>153</v>
      </c>
      <c r="F15" s="7" t="s">
        <v>182</v>
      </c>
      <c r="G15" s="7" t="s">
        <v>21</v>
      </c>
      <c r="H15" s="7" t="s">
        <v>22</v>
      </c>
      <c r="I15" s="7" t="s">
        <v>71</v>
      </c>
      <c r="J15" s="7">
        <v>20</v>
      </c>
      <c r="K15" s="7">
        <v>10</v>
      </c>
      <c r="L15" s="7">
        <v>15</v>
      </c>
      <c r="M15" s="7">
        <v>200</v>
      </c>
      <c r="N15" s="7">
        <v>300</v>
      </c>
      <c r="O15" s="7">
        <v>100</v>
      </c>
      <c r="P15" s="8">
        <v>44575</v>
      </c>
      <c r="Q15" s="7" t="s">
        <v>140</v>
      </c>
      <c r="R15" s="7">
        <v>0</v>
      </c>
      <c r="S15" s="7">
        <v>32</v>
      </c>
      <c r="T15" s="7" t="s">
        <v>146</v>
      </c>
    </row>
    <row r="16" spans="1:20" x14ac:dyDescent="0.25">
      <c r="A16" s="7" t="s">
        <v>183</v>
      </c>
      <c r="B16" s="8">
        <v>30913</v>
      </c>
      <c r="C16" s="7" t="s">
        <v>184</v>
      </c>
      <c r="D16" s="7" t="s">
        <v>19</v>
      </c>
      <c r="E16" s="7" t="s">
        <v>165</v>
      </c>
      <c r="F16" s="7" t="s">
        <v>139</v>
      </c>
      <c r="G16" s="7" t="s">
        <v>26</v>
      </c>
      <c r="H16" s="7" t="s">
        <v>74</v>
      </c>
      <c r="I16" s="7" t="s">
        <v>75</v>
      </c>
      <c r="J16" s="7">
        <v>20</v>
      </c>
      <c r="K16" s="7">
        <v>50</v>
      </c>
      <c r="L16" s="7">
        <v>80</v>
      </c>
      <c r="M16" s="7">
        <v>1000</v>
      </c>
      <c r="N16" s="7">
        <v>1600</v>
      </c>
      <c r="O16" s="7">
        <v>600</v>
      </c>
      <c r="P16" s="8">
        <v>44576</v>
      </c>
      <c r="Q16" s="7" t="s">
        <v>140</v>
      </c>
      <c r="R16" s="7">
        <v>1</v>
      </c>
      <c r="S16" s="7">
        <v>40</v>
      </c>
      <c r="T16" s="7" t="s">
        <v>141</v>
      </c>
    </row>
    <row r="17" spans="1:20" x14ac:dyDescent="0.25">
      <c r="A17" s="7" t="s">
        <v>185</v>
      </c>
      <c r="B17" s="8">
        <v>29657</v>
      </c>
      <c r="C17" s="7" t="s">
        <v>186</v>
      </c>
      <c r="D17" s="7" t="s">
        <v>13</v>
      </c>
      <c r="E17" s="7" t="s">
        <v>138</v>
      </c>
      <c r="F17" s="7" t="s">
        <v>187</v>
      </c>
      <c r="G17" s="7" t="s">
        <v>15</v>
      </c>
      <c r="H17" s="7" t="s">
        <v>78</v>
      </c>
      <c r="I17" s="7" t="s">
        <v>79</v>
      </c>
      <c r="J17" s="7">
        <v>20</v>
      </c>
      <c r="K17" s="7">
        <v>1500</v>
      </c>
      <c r="L17" s="7">
        <v>2000</v>
      </c>
      <c r="M17" s="7">
        <v>30000</v>
      </c>
      <c r="N17" s="7">
        <v>40000</v>
      </c>
      <c r="O17" s="7">
        <v>10000</v>
      </c>
      <c r="P17" s="8">
        <v>44577</v>
      </c>
      <c r="Q17" s="7" t="s">
        <v>140</v>
      </c>
      <c r="R17" s="7">
        <v>1</v>
      </c>
      <c r="S17" s="7">
        <v>43</v>
      </c>
      <c r="T17" s="7" t="s">
        <v>141</v>
      </c>
    </row>
    <row r="18" spans="1:20" x14ac:dyDescent="0.25">
      <c r="A18" s="7" t="s">
        <v>188</v>
      </c>
      <c r="B18" s="8">
        <v>33152</v>
      </c>
      <c r="C18" s="7" t="s">
        <v>189</v>
      </c>
      <c r="D18" s="7" t="s">
        <v>19</v>
      </c>
      <c r="E18" s="7" t="s">
        <v>144</v>
      </c>
      <c r="F18" s="7" t="s">
        <v>145</v>
      </c>
      <c r="G18" s="7" t="s">
        <v>40</v>
      </c>
      <c r="H18" s="7" t="s">
        <v>41</v>
      </c>
      <c r="I18" s="7" t="s">
        <v>81</v>
      </c>
      <c r="J18" s="7">
        <v>25</v>
      </c>
      <c r="K18" s="7">
        <v>300</v>
      </c>
      <c r="L18" s="7">
        <v>400</v>
      </c>
      <c r="M18" s="7">
        <v>7500</v>
      </c>
      <c r="N18" s="7">
        <v>10000</v>
      </c>
      <c r="O18" s="7">
        <v>2500</v>
      </c>
      <c r="P18" s="8">
        <v>44578</v>
      </c>
      <c r="Q18" s="7" t="s">
        <v>140</v>
      </c>
      <c r="R18" s="7">
        <v>1</v>
      </c>
      <c r="S18" s="7">
        <v>33</v>
      </c>
      <c r="T18" s="7" t="s">
        <v>141</v>
      </c>
    </row>
    <row r="19" spans="1:20" x14ac:dyDescent="0.25">
      <c r="A19" s="7" t="s">
        <v>190</v>
      </c>
      <c r="B19" s="8">
        <v>30183</v>
      </c>
      <c r="C19" s="7" t="s">
        <v>191</v>
      </c>
      <c r="D19" s="7" t="s">
        <v>13</v>
      </c>
      <c r="E19" s="7" t="s">
        <v>165</v>
      </c>
      <c r="F19" s="7" t="s">
        <v>157</v>
      </c>
      <c r="G19" s="7" t="s">
        <v>26</v>
      </c>
      <c r="H19" s="7" t="s">
        <v>84</v>
      </c>
      <c r="I19" s="7" t="s">
        <v>85</v>
      </c>
      <c r="J19" s="7">
        <v>30</v>
      </c>
      <c r="K19" s="7">
        <v>200</v>
      </c>
      <c r="L19" s="7">
        <v>300</v>
      </c>
      <c r="M19" s="7">
        <v>6000</v>
      </c>
      <c r="N19" s="7">
        <v>9000</v>
      </c>
      <c r="O19" s="7">
        <v>3000</v>
      </c>
      <c r="P19" s="8">
        <v>44579</v>
      </c>
      <c r="Q19" s="7" t="s">
        <v>140</v>
      </c>
      <c r="R19" s="7">
        <v>0</v>
      </c>
      <c r="S19" s="7">
        <v>42</v>
      </c>
      <c r="T19" s="7" t="s">
        <v>146</v>
      </c>
    </row>
    <row r="20" spans="1:20" x14ac:dyDescent="0.25">
      <c r="A20" s="7" t="s">
        <v>192</v>
      </c>
      <c r="B20" s="8">
        <v>32510</v>
      </c>
      <c r="C20" s="7" t="s">
        <v>193</v>
      </c>
      <c r="D20" s="7" t="s">
        <v>19</v>
      </c>
      <c r="E20" s="7" t="s">
        <v>153</v>
      </c>
      <c r="F20" s="7" t="s">
        <v>154</v>
      </c>
      <c r="G20" s="7" t="s">
        <v>21</v>
      </c>
      <c r="H20" s="7" t="s">
        <v>87</v>
      </c>
      <c r="I20" s="7" t="s">
        <v>88</v>
      </c>
      <c r="J20" s="7">
        <v>18</v>
      </c>
      <c r="K20" s="7">
        <v>200</v>
      </c>
      <c r="L20" s="7">
        <v>250</v>
      </c>
      <c r="M20" s="7">
        <v>3600</v>
      </c>
      <c r="N20" s="7">
        <v>4500</v>
      </c>
      <c r="O20" s="7">
        <v>900</v>
      </c>
      <c r="P20" s="8">
        <v>44580</v>
      </c>
      <c r="Q20" s="7" t="s">
        <v>140</v>
      </c>
      <c r="R20" s="7">
        <v>1</v>
      </c>
      <c r="S20" s="7">
        <v>35</v>
      </c>
      <c r="T20" s="7" t="s">
        <v>141</v>
      </c>
    </row>
    <row r="21" spans="1:20" x14ac:dyDescent="0.25">
      <c r="A21" s="7" t="s">
        <v>194</v>
      </c>
      <c r="B21" s="8">
        <v>35902</v>
      </c>
      <c r="C21" s="7" t="s">
        <v>195</v>
      </c>
      <c r="D21" s="7" t="s">
        <v>13</v>
      </c>
      <c r="E21" s="7" t="s">
        <v>138</v>
      </c>
      <c r="F21" s="7" t="s">
        <v>139</v>
      </c>
      <c r="G21" s="7" t="s">
        <v>36</v>
      </c>
      <c r="H21" s="7" t="s">
        <v>90</v>
      </c>
      <c r="I21" s="7" t="s">
        <v>91</v>
      </c>
      <c r="J21" s="7">
        <v>35</v>
      </c>
      <c r="K21" s="7">
        <v>50</v>
      </c>
      <c r="L21" s="7">
        <v>80</v>
      </c>
      <c r="M21" s="7">
        <v>1750</v>
      </c>
      <c r="N21" s="7">
        <v>2800</v>
      </c>
      <c r="O21" s="7">
        <v>1050</v>
      </c>
      <c r="P21" s="8">
        <v>44581</v>
      </c>
      <c r="Q21" s="7" t="s">
        <v>140</v>
      </c>
      <c r="R21" s="7">
        <v>1</v>
      </c>
      <c r="S21" s="7">
        <v>26</v>
      </c>
      <c r="T21" s="7" t="s">
        <v>141</v>
      </c>
    </row>
    <row r="22" spans="1:20" x14ac:dyDescent="0.25">
      <c r="A22" s="7" t="s">
        <v>196</v>
      </c>
      <c r="B22" s="8">
        <v>34667</v>
      </c>
      <c r="C22" s="7" t="s">
        <v>197</v>
      </c>
      <c r="D22" s="7" t="s">
        <v>19</v>
      </c>
      <c r="E22" s="7" t="s">
        <v>144</v>
      </c>
      <c r="F22" s="7" t="s">
        <v>198</v>
      </c>
      <c r="G22" s="7" t="s">
        <v>15</v>
      </c>
      <c r="H22" s="7" t="s">
        <v>16</v>
      </c>
      <c r="I22" s="7" t="s">
        <v>94</v>
      </c>
      <c r="J22" s="7">
        <v>22</v>
      </c>
      <c r="K22" s="7">
        <v>1200</v>
      </c>
      <c r="L22" s="7">
        <v>1500</v>
      </c>
      <c r="M22" s="7">
        <v>26400</v>
      </c>
      <c r="N22" s="7">
        <v>33000</v>
      </c>
      <c r="O22" s="7">
        <v>6600</v>
      </c>
      <c r="P22" s="8">
        <v>44582</v>
      </c>
      <c r="Q22" s="7" t="s">
        <v>140</v>
      </c>
      <c r="R22" s="7">
        <v>1</v>
      </c>
      <c r="S22" s="7">
        <v>29</v>
      </c>
      <c r="T22" s="7" t="s">
        <v>141</v>
      </c>
    </row>
    <row r="23" spans="1:20" x14ac:dyDescent="0.25">
      <c r="A23" s="7" t="s">
        <v>199</v>
      </c>
      <c r="B23" s="8">
        <v>29378</v>
      </c>
      <c r="C23" s="7" t="s">
        <v>200</v>
      </c>
      <c r="D23" s="7" t="s">
        <v>13</v>
      </c>
      <c r="E23" s="7" t="s">
        <v>165</v>
      </c>
      <c r="F23" s="7" t="s">
        <v>201</v>
      </c>
      <c r="G23" s="7" t="s">
        <v>40</v>
      </c>
      <c r="H23" s="7" t="s">
        <v>97</v>
      </c>
      <c r="I23" s="7" t="s">
        <v>98</v>
      </c>
      <c r="J23" s="7">
        <v>40</v>
      </c>
      <c r="K23" s="7">
        <v>600</v>
      </c>
      <c r="L23" s="7">
        <v>800</v>
      </c>
      <c r="M23" s="7">
        <v>24000</v>
      </c>
      <c r="N23" s="7">
        <v>32000</v>
      </c>
      <c r="O23" s="7">
        <v>8000</v>
      </c>
      <c r="P23" s="8">
        <v>44583</v>
      </c>
      <c r="Q23" s="7" t="s">
        <v>140</v>
      </c>
      <c r="R23" s="7">
        <v>0</v>
      </c>
      <c r="S23" s="7">
        <v>44</v>
      </c>
      <c r="T23" s="7" t="s">
        <v>146</v>
      </c>
    </row>
    <row r="24" spans="1:20" x14ac:dyDescent="0.25">
      <c r="A24" s="7" t="s">
        <v>202</v>
      </c>
      <c r="B24" s="8">
        <v>32227</v>
      </c>
      <c r="C24" s="7" t="s">
        <v>203</v>
      </c>
      <c r="D24" s="7" t="s">
        <v>19</v>
      </c>
      <c r="E24" s="7" t="s">
        <v>153</v>
      </c>
      <c r="F24" s="7" t="s">
        <v>172</v>
      </c>
      <c r="G24" s="7" t="s">
        <v>26</v>
      </c>
      <c r="H24" s="7" t="s">
        <v>27</v>
      </c>
      <c r="I24" s="7" t="s">
        <v>100</v>
      </c>
      <c r="J24" s="7">
        <v>16</v>
      </c>
      <c r="K24" s="7">
        <v>50</v>
      </c>
      <c r="L24" s="7">
        <v>70</v>
      </c>
      <c r="M24" s="7">
        <v>800</v>
      </c>
      <c r="N24" s="7">
        <v>1120</v>
      </c>
      <c r="O24" s="7">
        <v>320</v>
      </c>
      <c r="P24" s="8">
        <v>44584</v>
      </c>
      <c r="Q24" s="7" t="s">
        <v>140</v>
      </c>
      <c r="R24" s="7">
        <v>1</v>
      </c>
      <c r="S24" s="7">
        <v>36</v>
      </c>
      <c r="T24" s="7" t="s">
        <v>141</v>
      </c>
    </row>
    <row r="25" spans="1:20" x14ac:dyDescent="0.25">
      <c r="A25" s="7" t="s">
        <v>204</v>
      </c>
      <c r="B25" s="8">
        <v>34224</v>
      </c>
      <c r="C25" s="7" t="s">
        <v>205</v>
      </c>
      <c r="D25" s="7" t="s">
        <v>13</v>
      </c>
      <c r="E25" s="7" t="s">
        <v>149</v>
      </c>
      <c r="F25" s="7" t="s">
        <v>150</v>
      </c>
      <c r="G25" s="7" t="s">
        <v>21</v>
      </c>
      <c r="H25" s="7" t="s">
        <v>22</v>
      </c>
      <c r="I25" s="7" t="s">
        <v>23</v>
      </c>
      <c r="J25" s="7">
        <v>19</v>
      </c>
      <c r="K25" s="7">
        <v>25</v>
      </c>
      <c r="L25" s="7">
        <v>30</v>
      </c>
      <c r="M25" s="7">
        <v>475</v>
      </c>
      <c r="N25" s="7">
        <v>570</v>
      </c>
      <c r="O25" s="7">
        <v>95</v>
      </c>
      <c r="P25" s="8">
        <v>44585</v>
      </c>
      <c r="Q25" s="7" t="s">
        <v>140</v>
      </c>
      <c r="R25" s="7">
        <v>1</v>
      </c>
      <c r="S25" s="7">
        <v>31</v>
      </c>
      <c r="T25" s="7" t="s">
        <v>141</v>
      </c>
    </row>
    <row r="26" spans="1:20" x14ac:dyDescent="0.25">
      <c r="A26" s="7" t="s">
        <v>206</v>
      </c>
      <c r="B26" s="8">
        <v>31407</v>
      </c>
      <c r="C26" s="7" t="s">
        <v>207</v>
      </c>
      <c r="D26" s="7" t="s">
        <v>19</v>
      </c>
      <c r="E26" s="7" t="s">
        <v>165</v>
      </c>
      <c r="F26" s="7" t="s">
        <v>139</v>
      </c>
      <c r="G26" s="7" t="s">
        <v>15</v>
      </c>
      <c r="H26" s="7" t="s">
        <v>103</v>
      </c>
      <c r="I26" s="7" t="s">
        <v>104</v>
      </c>
      <c r="J26" s="7">
        <v>21</v>
      </c>
      <c r="K26" s="7">
        <v>800</v>
      </c>
      <c r="L26" s="7">
        <v>1000</v>
      </c>
      <c r="M26" s="7">
        <v>16800</v>
      </c>
      <c r="N26" s="7">
        <v>21000</v>
      </c>
      <c r="O26" s="7">
        <v>4200</v>
      </c>
      <c r="P26" s="8">
        <v>44586</v>
      </c>
      <c r="Q26" s="7" t="s">
        <v>140</v>
      </c>
      <c r="R26" s="7">
        <v>0</v>
      </c>
      <c r="S26" s="7">
        <v>38</v>
      </c>
      <c r="T26" s="7" t="s">
        <v>146</v>
      </c>
    </row>
    <row r="27" spans="1:20" x14ac:dyDescent="0.25">
      <c r="A27" s="7" t="s">
        <v>208</v>
      </c>
      <c r="B27" s="8">
        <v>30085</v>
      </c>
      <c r="C27" s="7" t="s">
        <v>209</v>
      </c>
      <c r="D27" s="7" t="s">
        <v>13</v>
      </c>
      <c r="E27" s="7" t="s">
        <v>138</v>
      </c>
      <c r="F27" s="7" t="s">
        <v>139</v>
      </c>
      <c r="G27" s="7" t="s">
        <v>36</v>
      </c>
      <c r="H27" s="7" t="s">
        <v>49</v>
      </c>
      <c r="I27" s="7" t="s">
        <v>106</v>
      </c>
      <c r="J27" s="7">
        <v>20</v>
      </c>
      <c r="K27" s="7">
        <v>100</v>
      </c>
      <c r="L27" s="7">
        <v>150</v>
      </c>
      <c r="M27" s="7">
        <v>2000</v>
      </c>
      <c r="N27" s="7">
        <v>3000</v>
      </c>
      <c r="O27" s="7">
        <v>1000</v>
      </c>
      <c r="P27" s="8">
        <v>44587</v>
      </c>
      <c r="Q27" s="7" t="s">
        <v>140</v>
      </c>
      <c r="R27" s="7">
        <v>0</v>
      </c>
      <c r="S27" s="7">
        <v>42</v>
      </c>
      <c r="T27" s="7" t="s">
        <v>146</v>
      </c>
    </row>
    <row r="28" spans="1:20" x14ac:dyDescent="0.25">
      <c r="A28" s="7" t="s">
        <v>210</v>
      </c>
      <c r="B28" s="8">
        <v>33503</v>
      </c>
      <c r="C28" s="7" t="s">
        <v>211</v>
      </c>
      <c r="D28" s="7" t="s">
        <v>19</v>
      </c>
      <c r="E28" s="7" t="s">
        <v>153</v>
      </c>
      <c r="F28" s="7" t="s">
        <v>182</v>
      </c>
      <c r="G28" s="7" t="s">
        <v>40</v>
      </c>
      <c r="H28" s="7" t="s">
        <v>67</v>
      </c>
      <c r="I28" s="7" t="s">
        <v>108</v>
      </c>
      <c r="J28" s="7">
        <v>25</v>
      </c>
      <c r="K28" s="7">
        <v>500</v>
      </c>
      <c r="L28" s="7">
        <v>600</v>
      </c>
      <c r="M28" s="7">
        <v>12500</v>
      </c>
      <c r="N28" s="7">
        <v>15000</v>
      </c>
      <c r="O28" s="7">
        <v>2500</v>
      </c>
      <c r="P28" s="8">
        <v>44223</v>
      </c>
      <c r="Q28" s="7" t="s">
        <v>212</v>
      </c>
      <c r="R28" s="7">
        <v>1</v>
      </c>
      <c r="S28" s="7">
        <v>33</v>
      </c>
      <c r="T28" s="7" t="s">
        <v>141</v>
      </c>
    </row>
    <row r="29" spans="1:20" x14ac:dyDescent="0.25">
      <c r="A29" s="7" t="s">
        <v>213</v>
      </c>
      <c r="B29" s="8">
        <v>31964</v>
      </c>
      <c r="C29" s="7" t="s">
        <v>214</v>
      </c>
      <c r="D29" s="7" t="s">
        <v>13</v>
      </c>
      <c r="E29" s="7" t="s">
        <v>149</v>
      </c>
      <c r="F29" s="7" t="s">
        <v>215</v>
      </c>
      <c r="G29" s="7" t="s">
        <v>21</v>
      </c>
      <c r="H29" s="7" t="s">
        <v>53</v>
      </c>
      <c r="I29" s="7" t="s">
        <v>111</v>
      </c>
      <c r="J29" s="7">
        <v>30</v>
      </c>
      <c r="K29" s="7">
        <v>25</v>
      </c>
      <c r="L29" s="7">
        <v>40</v>
      </c>
      <c r="M29" s="7">
        <v>750</v>
      </c>
      <c r="N29" s="7">
        <v>1200</v>
      </c>
      <c r="O29" s="7">
        <v>450</v>
      </c>
      <c r="P29" s="8">
        <v>43493</v>
      </c>
      <c r="Q29" s="7" t="s">
        <v>216</v>
      </c>
      <c r="R29" s="7">
        <v>1</v>
      </c>
      <c r="S29" s="7">
        <v>37</v>
      </c>
      <c r="T29" s="7" t="s">
        <v>141</v>
      </c>
    </row>
    <row r="30" spans="1:20" x14ac:dyDescent="0.25">
      <c r="A30" s="7" t="s">
        <v>217</v>
      </c>
      <c r="B30" s="8">
        <v>33653</v>
      </c>
      <c r="C30" s="7" t="s">
        <v>218</v>
      </c>
      <c r="D30" s="7" t="s">
        <v>19</v>
      </c>
      <c r="E30" s="7" t="s">
        <v>165</v>
      </c>
      <c r="F30" s="7" t="s">
        <v>166</v>
      </c>
      <c r="G30" s="7" t="s">
        <v>15</v>
      </c>
      <c r="H30" s="7" t="s">
        <v>45</v>
      </c>
      <c r="I30" s="7" t="s">
        <v>113</v>
      </c>
      <c r="J30" s="7">
        <v>35</v>
      </c>
      <c r="K30" s="7">
        <v>1000</v>
      </c>
      <c r="L30" s="7">
        <v>1200</v>
      </c>
      <c r="M30" s="7">
        <v>35000</v>
      </c>
      <c r="N30" s="7">
        <v>42000</v>
      </c>
      <c r="O30" s="7">
        <v>7000</v>
      </c>
      <c r="P30" s="8">
        <v>43129</v>
      </c>
      <c r="Q30" s="7" t="s">
        <v>219</v>
      </c>
      <c r="R30" s="7">
        <v>1</v>
      </c>
      <c r="S30" s="7">
        <v>32</v>
      </c>
      <c r="T30" s="7" t="s">
        <v>141</v>
      </c>
    </row>
    <row r="31" spans="1:20" x14ac:dyDescent="0.25">
      <c r="A31" s="7" t="s">
        <v>220</v>
      </c>
      <c r="B31" s="8">
        <v>30987</v>
      </c>
      <c r="C31" s="7" t="s">
        <v>221</v>
      </c>
      <c r="D31" s="7" t="s">
        <v>13</v>
      </c>
      <c r="E31" s="7" t="s">
        <v>144</v>
      </c>
      <c r="F31" s="7" t="s">
        <v>222</v>
      </c>
      <c r="G31" s="7" t="s">
        <v>36</v>
      </c>
      <c r="H31" s="7" t="s">
        <v>116</v>
      </c>
      <c r="I31" s="7" t="s">
        <v>117</v>
      </c>
      <c r="J31" s="7">
        <v>40</v>
      </c>
      <c r="K31" s="7">
        <v>20</v>
      </c>
      <c r="L31" s="7">
        <v>30</v>
      </c>
      <c r="M31" s="7">
        <v>800</v>
      </c>
      <c r="N31" s="7">
        <v>1200</v>
      </c>
      <c r="O31" s="7">
        <v>400</v>
      </c>
      <c r="P31" s="8">
        <v>42765</v>
      </c>
      <c r="Q31" s="7" t="s">
        <v>223</v>
      </c>
      <c r="R31" s="7">
        <v>1</v>
      </c>
      <c r="S31" s="7">
        <v>39</v>
      </c>
      <c r="T31" s="7" t="s">
        <v>141</v>
      </c>
    </row>
    <row r="32" spans="1:20" x14ac:dyDescent="0.25">
      <c r="A32" s="7" t="s">
        <v>224</v>
      </c>
      <c r="B32" s="8">
        <v>36323</v>
      </c>
      <c r="C32" s="7" t="s">
        <v>225</v>
      </c>
      <c r="D32" s="7" t="s">
        <v>19</v>
      </c>
      <c r="E32" s="7" t="s">
        <v>138</v>
      </c>
      <c r="F32" s="7" t="s">
        <v>169</v>
      </c>
      <c r="G32" s="7" t="s">
        <v>26</v>
      </c>
      <c r="H32" s="7" t="s">
        <v>57</v>
      </c>
      <c r="I32" s="7" t="s">
        <v>119</v>
      </c>
      <c r="J32" s="7">
        <v>16</v>
      </c>
      <c r="K32" s="7">
        <v>15</v>
      </c>
      <c r="L32" s="7">
        <v>25</v>
      </c>
      <c r="M32" s="7">
        <v>240</v>
      </c>
      <c r="N32" s="7">
        <v>400</v>
      </c>
      <c r="O32" s="7">
        <v>160</v>
      </c>
      <c r="P32" s="8">
        <v>42400</v>
      </c>
      <c r="Q32" s="7" t="s">
        <v>226</v>
      </c>
      <c r="R32" s="7">
        <v>0</v>
      </c>
      <c r="S32" s="7">
        <v>25</v>
      </c>
      <c r="T32" s="7" t="s">
        <v>146</v>
      </c>
    </row>
    <row r="33" spans="1:20" x14ac:dyDescent="0.25">
      <c r="A33" s="7" t="s">
        <v>227</v>
      </c>
      <c r="B33" s="8">
        <v>30392</v>
      </c>
      <c r="C33" s="7" t="s">
        <v>228</v>
      </c>
      <c r="D33" s="7" t="s">
        <v>13</v>
      </c>
      <c r="E33" s="7" t="s">
        <v>153</v>
      </c>
      <c r="F33" s="7" t="s">
        <v>154</v>
      </c>
      <c r="G33" s="7" t="s">
        <v>40</v>
      </c>
      <c r="H33" s="7" t="s">
        <v>41</v>
      </c>
      <c r="I33" s="7" t="s">
        <v>121</v>
      </c>
      <c r="J33" s="7">
        <v>22</v>
      </c>
      <c r="K33" s="7">
        <v>500</v>
      </c>
      <c r="L33" s="7">
        <v>600</v>
      </c>
      <c r="M33" s="7">
        <v>11000</v>
      </c>
      <c r="N33" s="7">
        <v>13200</v>
      </c>
      <c r="O33" s="7">
        <v>2200</v>
      </c>
      <c r="P33" s="8">
        <v>44593</v>
      </c>
      <c r="Q33" s="7" t="s">
        <v>140</v>
      </c>
      <c r="R33" s="7">
        <v>1</v>
      </c>
      <c r="S33" s="7">
        <v>41</v>
      </c>
      <c r="T33" s="7" t="s">
        <v>141</v>
      </c>
    </row>
    <row r="34" spans="1:20" x14ac:dyDescent="0.25">
      <c r="A34" s="7" t="s">
        <v>229</v>
      </c>
      <c r="B34" s="8">
        <v>34190</v>
      </c>
      <c r="C34" s="7" t="s">
        <v>230</v>
      </c>
      <c r="D34" s="7" t="s">
        <v>19</v>
      </c>
      <c r="E34" s="7" t="s">
        <v>165</v>
      </c>
      <c r="F34" s="7" t="s">
        <v>157</v>
      </c>
      <c r="G34" s="7" t="s">
        <v>21</v>
      </c>
      <c r="H34" s="7" t="s">
        <v>87</v>
      </c>
      <c r="I34" s="7" t="s">
        <v>123</v>
      </c>
      <c r="J34" s="7">
        <v>18</v>
      </c>
      <c r="K34" s="7">
        <v>150</v>
      </c>
      <c r="L34" s="7">
        <v>200</v>
      </c>
      <c r="M34" s="7">
        <v>2700</v>
      </c>
      <c r="N34" s="7">
        <v>3600</v>
      </c>
      <c r="O34" s="7">
        <v>900</v>
      </c>
      <c r="P34" s="8">
        <v>44229</v>
      </c>
      <c r="Q34" s="7" t="s">
        <v>212</v>
      </c>
      <c r="R34" s="7">
        <v>1</v>
      </c>
      <c r="S34" s="7">
        <v>31</v>
      </c>
      <c r="T34" s="7" t="s">
        <v>141</v>
      </c>
    </row>
    <row r="35" spans="1:20" x14ac:dyDescent="0.25">
      <c r="A35" s="7" t="s">
        <v>231</v>
      </c>
      <c r="B35" s="8">
        <v>32157</v>
      </c>
      <c r="C35" s="7" t="s">
        <v>137</v>
      </c>
      <c r="D35" s="7" t="s">
        <v>13</v>
      </c>
      <c r="E35" s="7" t="s">
        <v>138</v>
      </c>
      <c r="F35" s="7" t="s">
        <v>187</v>
      </c>
      <c r="G35" s="7" t="s">
        <v>15</v>
      </c>
      <c r="H35" s="7" t="s">
        <v>61</v>
      </c>
      <c r="I35" s="7" t="s">
        <v>124</v>
      </c>
      <c r="J35" s="7">
        <v>21</v>
      </c>
      <c r="K35" s="7">
        <v>300</v>
      </c>
      <c r="L35" s="7">
        <v>350</v>
      </c>
      <c r="M35" s="7">
        <v>6300</v>
      </c>
      <c r="N35" s="7">
        <v>7350</v>
      </c>
      <c r="O35" s="7">
        <v>1050</v>
      </c>
      <c r="P35" s="8">
        <v>43499</v>
      </c>
      <c r="Q35" s="7" t="s">
        <v>216</v>
      </c>
      <c r="R35" s="7">
        <v>0</v>
      </c>
      <c r="S35" s="7">
        <v>36</v>
      </c>
      <c r="T35" s="7" t="s">
        <v>146</v>
      </c>
    </row>
    <row r="36" spans="1:20" x14ac:dyDescent="0.25">
      <c r="A36" s="7" t="s">
        <v>232</v>
      </c>
      <c r="B36" s="8">
        <v>32991</v>
      </c>
      <c r="C36" s="7" t="s">
        <v>233</v>
      </c>
      <c r="D36" s="7" t="s">
        <v>19</v>
      </c>
      <c r="E36" s="7" t="s">
        <v>165</v>
      </c>
      <c r="F36" s="7" t="s">
        <v>157</v>
      </c>
      <c r="G36" s="7" t="s">
        <v>21</v>
      </c>
      <c r="H36" s="7" t="s">
        <v>87</v>
      </c>
      <c r="I36" s="7" t="s">
        <v>117</v>
      </c>
      <c r="J36" s="7">
        <v>18</v>
      </c>
      <c r="K36" s="7">
        <v>150</v>
      </c>
      <c r="L36" s="7">
        <v>200</v>
      </c>
      <c r="M36" s="7">
        <v>2700</v>
      </c>
      <c r="N36" s="7">
        <v>3600</v>
      </c>
      <c r="O36" s="7">
        <v>900</v>
      </c>
      <c r="P36" s="8">
        <v>43499</v>
      </c>
      <c r="Q36" s="7" t="s">
        <v>216</v>
      </c>
      <c r="R36" s="7">
        <v>1</v>
      </c>
      <c r="S36" s="7">
        <v>34</v>
      </c>
      <c r="T36" s="7" t="s">
        <v>141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D9C7-5AD7-4588-8177-197F782984AE}">
  <dimension ref="A1:N36"/>
  <sheetViews>
    <sheetView workbookViewId="0">
      <selection activeCell="N8" sqref="N8"/>
    </sheetView>
  </sheetViews>
  <sheetFormatPr defaultRowHeight="15" x14ac:dyDescent="0.25"/>
  <cols>
    <col min="1" max="1" width="15" customWidth="1"/>
    <col min="2" max="2" width="25.5703125" style="6" customWidth="1"/>
    <col min="3" max="3" width="26.42578125" customWidth="1"/>
    <col min="4" max="4" width="10.28515625" customWidth="1"/>
    <col min="5" max="5" width="24.140625" customWidth="1"/>
    <col min="6" max="6" width="22.5703125" customWidth="1"/>
    <col min="7" max="7" width="19.42578125" customWidth="1"/>
    <col min="8" max="9" width="20.28515625" customWidth="1"/>
    <col min="10" max="10" width="12.7109375" customWidth="1"/>
    <col min="11" max="11" width="15" customWidth="1"/>
    <col min="12" max="12" width="17.140625" customWidth="1"/>
    <col min="13" max="13" width="25.140625" customWidth="1"/>
  </cols>
  <sheetData>
    <row r="1" spans="1:14" s="1" customFormat="1" ht="23.45" customHeight="1" x14ac:dyDescent="0.25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126</v>
      </c>
      <c r="L1" s="3" t="s">
        <v>10</v>
      </c>
      <c r="M1" s="3" t="s">
        <v>11</v>
      </c>
      <c r="N1" s="3" t="s">
        <v>127</v>
      </c>
    </row>
    <row r="2" spans="1:14" x14ac:dyDescent="0.25">
      <c r="A2" s="4">
        <v>1</v>
      </c>
      <c r="B2" s="6">
        <v>31187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20</v>
      </c>
      <c r="J2">
        <v>1500</v>
      </c>
      <c r="K2">
        <v>2000</v>
      </c>
      <c r="L2">
        <v>44562</v>
      </c>
      <c r="M2">
        <v>1</v>
      </c>
      <c r="N2">
        <f t="shared" ref="N2:N36" ca="1" si="0">DATEDIF(B2,TODAY(),"Y")</f>
        <v>39</v>
      </c>
    </row>
    <row r="3" spans="1:14" x14ac:dyDescent="0.25">
      <c r="A3" s="4">
        <v>2</v>
      </c>
      <c r="B3" s="6">
        <v>33918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15</v>
      </c>
      <c r="J3">
        <v>50</v>
      </c>
      <c r="K3">
        <v>80</v>
      </c>
      <c r="L3">
        <v>44563</v>
      </c>
      <c r="M3">
        <v>0</v>
      </c>
      <c r="N3">
        <f t="shared" ca="1" si="0"/>
        <v>31</v>
      </c>
    </row>
    <row r="4" spans="1:14" x14ac:dyDescent="0.25">
      <c r="A4" s="4">
        <v>3</v>
      </c>
      <c r="B4" s="6">
        <v>28704</v>
      </c>
      <c r="C4" t="s">
        <v>24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  <c r="I4">
        <v>20</v>
      </c>
      <c r="J4">
        <v>100</v>
      </c>
      <c r="K4">
        <v>150</v>
      </c>
      <c r="L4">
        <v>44564</v>
      </c>
      <c r="M4">
        <v>1</v>
      </c>
      <c r="N4">
        <f t="shared" ca="1" si="0"/>
        <v>46</v>
      </c>
    </row>
    <row r="5" spans="1:14" x14ac:dyDescent="0.25">
      <c r="A5" s="4">
        <v>4</v>
      </c>
      <c r="B5" s="6">
        <v>34776</v>
      </c>
      <c r="C5" t="s">
        <v>29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>
        <v>20</v>
      </c>
      <c r="J5">
        <v>10</v>
      </c>
      <c r="K5">
        <v>15</v>
      </c>
      <c r="L5">
        <v>44565</v>
      </c>
      <c r="M5">
        <v>0</v>
      </c>
      <c r="N5">
        <f t="shared" ca="1" si="0"/>
        <v>29</v>
      </c>
    </row>
    <row r="6" spans="1:14" x14ac:dyDescent="0.25">
      <c r="A6" s="4">
        <v>5</v>
      </c>
      <c r="B6" s="6">
        <v>32759</v>
      </c>
      <c r="C6" t="s">
        <v>34</v>
      </c>
      <c r="D6" t="s">
        <v>19</v>
      </c>
      <c r="E6" t="s">
        <v>35</v>
      </c>
      <c r="F6" t="s">
        <v>36</v>
      </c>
      <c r="G6" t="s">
        <v>37</v>
      </c>
      <c r="H6" t="s">
        <v>38</v>
      </c>
      <c r="I6">
        <v>15</v>
      </c>
      <c r="J6">
        <v>80</v>
      </c>
      <c r="K6">
        <v>100</v>
      </c>
      <c r="L6">
        <v>44566</v>
      </c>
      <c r="M6">
        <v>1</v>
      </c>
      <c r="N6">
        <f t="shared" ca="1" si="0"/>
        <v>35</v>
      </c>
    </row>
    <row r="7" spans="1:14" x14ac:dyDescent="0.25">
      <c r="A7" s="4">
        <v>6</v>
      </c>
      <c r="B7" s="6">
        <v>29245</v>
      </c>
      <c r="C7" t="s">
        <v>39</v>
      </c>
      <c r="D7" t="s">
        <v>13</v>
      </c>
      <c r="E7" t="s">
        <v>14</v>
      </c>
      <c r="F7" t="s">
        <v>40</v>
      </c>
      <c r="G7" t="s">
        <v>41</v>
      </c>
      <c r="H7" t="s">
        <v>42</v>
      </c>
      <c r="I7">
        <v>20</v>
      </c>
      <c r="J7">
        <v>80</v>
      </c>
      <c r="K7">
        <v>100</v>
      </c>
      <c r="L7">
        <v>44567</v>
      </c>
      <c r="M7">
        <v>0</v>
      </c>
      <c r="N7">
        <f t="shared" ca="1" si="0"/>
        <v>44</v>
      </c>
    </row>
    <row r="8" spans="1:14" x14ac:dyDescent="0.25">
      <c r="A8" s="4">
        <v>7</v>
      </c>
      <c r="B8" s="6">
        <v>33336</v>
      </c>
      <c r="C8" t="s">
        <v>43</v>
      </c>
      <c r="D8" t="s">
        <v>19</v>
      </c>
      <c r="E8" t="s">
        <v>44</v>
      </c>
      <c r="F8" t="s">
        <v>15</v>
      </c>
      <c r="G8" t="s">
        <v>45</v>
      </c>
      <c r="H8" t="s">
        <v>46</v>
      </c>
      <c r="I8">
        <v>20</v>
      </c>
      <c r="J8">
        <v>900</v>
      </c>
      <c r="K8">
        <v>1000</v>
      </c>
      <c r="L8">
        <v>44568</v>
      </c>
      <c r="M8">
        <v>1</v>
      </c>
      <c r="N8">
        <f t="shared" ca="1" si="0"/>
        <v>33</v>
      </c>
    </row>
    <row r="9" spans="1:14" x14ac:dyDescent="0.25">
      <c r="A9" s="4">
        <v>8</v>
      </c>
      <c r="B9" s="6">
        <v>28307</v>
      </c>
      <c r="C9" t="s">
        <v>47</v>
      </c>
      <c r="D9" t="s">
        <v>13</v>
      </c>
      <c r="E9" t="s">
        <v>48</v>
      </c>
      <c r="F9" t="s">
        <v>36</v>
      </c>
      <c r="G9" t="s">
        <v>49</v>
      </c>
      <c r="H9" t="s">
        <v>50</v>
      </c>
      <c r="I9">
        <v>20</v>
      </c>
      <c r="J9">
        <v>120</v>
      </c>
      <c r="K9">
        <v>150</v>
      </c>
      <c r="L9">
        <v>44569</v>
      </c>
      <c r="M9">
        <v>1</v>
      </c>
      <c r="N9">
        <f t="shared" ca="1" si="0"/>
        <v>47</v>
      </c>
    </row>
    <row r="10" spans="1:14" x14ac:dyDescent="0.25">
      <c r="A10" s="4">
        <v>9</v>
      </c>
      <c r="B10" s="6">
        <v>32187</v>
      </c>
      <c r="C10" t="s">
        <v>51</v>
      </c>
      <c r="D10" t="s">
        <v>19</v>
      </c>
      <c r="E10" t="s">
        <v>52</v>
      </c>
      <c r="F10" t="s">
        <v>21</v>
      </c>
      <c r="G10" t="s">
        <v>53</v>
      </c>
      <c r="H10" t="s">
        <v>54</v>
      </c>
      <c r="I10">
        <v>3</v>
      </c>
      <c r="J10">
        <v>30</v>
      </c>
      <c r="K10">
        <v>40</v>
      </c>
      <c r="L10">
        <v>44570</v>
      </c>
      <c r="M10">
        <v>0</v>
      </c>
      <c r="N10">
        <f t="shared" ca="1" si="0"/>
        <v>36</v>
      </c>
    </row>
    <row r="11" spans="1:14" x14ac:dyDescent="0.25">
      <c r="A11" s="4">
        <v>10</v>
      </c>
      <c r="B11" s="6">
        <v>36314</v>
      </c>
      <c r="C11" t="s">
        <v>55</v>
      </c>
      <c r="D11" t="s">
        <v>13</v>
      </c>
      <c r="E11" t="s">
        <v>56</v>
      </c>
      <c r="F11" t="s">
        <v>26</v>
      </c>
      <c r="G11" t="s">
        <v>57</v>
      </c>
      <c r="H11" t="s">
        <v>58</v>
      </c>
      <c r="I11">
        <v>15</v>
      </c>
      <c r="J11">
        <v>20</v>
      </c>
      <c r="K11">
        <v>25</v>
      </c>
      <c r="L11">
        <v>44571</v>
      </c>
      <c r="M11">
        <v>1</v>
      </c>
      <c r="N11">
        <f t="shared" ca="1" si="0"/>
        <v>25</v>
      </c>
    </row>
    <row r="12" spans="1:14" x14ac:dyDescent="0.25">
      <c r="A12" s="4">
        <v>11</v>
      </c>
      <c r="B12" s="6">
        <v>35025</v>
      </c>
      <c r="C12" t="s">
        <v>59</v>
      </c>
      <c r="D12" t="s">
        <v>19</v>
      </c>
      <c r="E12" t="s">
        <v>60</v>
      </c>
      <c r="F12" t="s">
        <v>15</v>
      </c>
      <c r="G12" t="s">
        <v>61</v>
      </c>
      <c r="H12" t="s">
        <v>62</v>
      </c>
      <c r="I12">
        <v>20</v>
      </c>
      <c r="J12">
        <v>180</v>
      </c>
      <c r="K12">
        <v>200</v>
      </c>
      <c r="L12">
        <v>44572</v>
      </c>
      <c r="M12">
        <v>0</v>
      </c>
      <c r="N12">
        <f t="shared" ca="1" si="0"/>
        <v>28</v>
      </c>
    </row>
    <row r="13" spans="1:14" x14ac:dyDescent="0.25">
      <c r="A13" s="4">
        <v>12</v>
      </c>
      <c r="B13" s="6">
        <v>29204</v>
      </c>
      <c r="C13" t="s">
        <v>63</v>
      </c>
      <c r="D13" t="s">
        <v>13</v>
      </c>
      <c r="E13" t="s">
        <v>35</v>
      </c>
      <c r="F13" t="s">
        <v>31</v>
      </c>
      <c r="G13" t="s">
        <v>64</v>
      </c>
      <c r="H13" t="s">
        <v>65</v>
      </c>
      <c r="I13">
        <v>20</v>
      </c>
      <c r="J13">
        <v>15</v>
      </c>
      <c r="K13">
        <v>20</v>
      </c>
      <c r="L13">
        <v>44573</v>
      </c>
      <c r="M13">
        <v>1</v>
      </c>
      <c r="N13">
        <f t="shared" ca="1" si="0"/>
        <v>44</v>
      </c>
    </row>
    <row r="14" spans="1:14" x14ac:dyDescent="0.25">
      <c r="A14" s="4">
        <v>13</v>
      </c>
      <c r="B14" s="6">
        <v>32048</v>
      </c>
      <c r="C14" t="s">
        <v>66</v>
      </c>
      <c r="D14" t="s">
        <v>19</v>
      </c>
      <c r="E14" t="s">
        <v>20</v>
      </c>
      <c r="F14" t="s">
        <v>40</v>
      </c>
      <c r="G14" t="s">
        <v>67</v>
      </c>
      <c r="H14" t="s">
        <v>68</v>
      </c>
      <c r="I14">
        <v>20</v>
      </c>
      <c r="J14">
        <v>100</v>
      </c>
      <c r="K14">
        <v>120</v>
      </c>
      <c r="L14">
        <v>44574</v>
      </c>
      <c r="M14">
        <v>1</v>
      </c>
      <c r="N14">
        <f t="shared" ca="1" si="0"/>
        <v>37</v>
      </c>
    </row>
    <row r="15" spans="1:14" x14ac:dyDescent="0.25">
      <c r="A15" s="4">
        <v>14</v>
      </c>
      <c r="B15" s="6">
        <v>33731</v>
      </c>
      <c r="C15" t="s">
        <v>69</v>
      </c>
      <c r="D15" t="s">
        <v>13</v>
      </c>
      <c r="E15" t="s">
        <v>70</v>
      </c>
      <c r="F15" t="s">
        <v>21</v>
      </c>
      <c r="G15" t="s">
        <v>22</v>
      </c>
      <c r="H15" t="s">
        <v>71</v>
      </c>
      <c r="I15">
        <v>20</v>
      </c>
      <c r="J15">
        <v>10</v>
      </c>
      <c r="K15">
        <v>15</v>
      </c>
      <c r="L15">
        <v>44575</v>
      </c>
      <c r="M15">
        <v>0</v>
      </c>
      <c r="N15">
        <f t="shared" ca="1" si="0"/>
        <v>32</v>
      </c>
    </row>
    <row r="16" spans="1:14" x14ac:dyDescent="0.25">
      <c r="A16" s="4">
        <v>15</v>
      </c>
      <c r="B16" s="6">
        <v>30913</v>
      </c>
      <c r="C16" t="s">
        <v>72</v>
      </c>
      <c r="D16" t="s">
        <v>19</v>
      </c>
      <c r="E16" t="s">
        <v>73</v>
      </c>
      <c r="F16" t="s">
        <v>26</v>
      </c>
      <c r="G16" t="s">
        <v>74</v>
      </c>
      <c r="H16" t="s">
        <v>75</v>
      </c>
      <c r="I16">
        <v>20</v>
      </c>
      <c r="J16">
        <v>50</v>
      </c>
      <c r="K16">
        <v>80</v>
      </c>
      <c r="L16">
        <v>44576</v>
      </c>
      <c r="M16">
        <v>1</v>
      </c>
      <c r="N16">
        <f t="shared" ca="1" si="0"/>
        <v>40</v>
      </c>
    </row>
    <row r="17" spans="1:14" x14ac:dyDescent="0.25">
      <c r="A17" s="4">
        <v>16</v>
      </c>
      <c r="B17" s="6">
        <v>29657</v>
      </c>
      <c r="C17" t="s">
        <v>76</v>
      </c>
      <c r="D17" t="s">
        <v>13</v>
      </c>
      <c r="E17" t="s">
        <v>77</v>
      </c>
      <c r="F17" t="s">
        <v>15</v>
      </c>
      <c r="G17" t="s">
        <v>78</v>
      </c>
      <c r="H17" t="s">
        <v>79</v>
      </c>
      <c r="I17">
        <v>20</v>
      </c>
      <c r="J17">
        <v>1500</v>
      </c>
      <c r="K17">
        <v>2000</v>
      </c>
      <c r="L17">
        <v>44577</v>
      </c>
      <c r="M17">
        <v>1</v>
      </c>
      <c r="N17">
        <f t="shared" ca="1" si="0"/>
        <v>43</v>
      </c>
    </row>
    <row r="18" spans="1:14" x14ac:dyDescent="0.25">
      <c r="A18" s="4">
        <v>17</v>
      </c>
      <c r="B18" s="6">
        <v>33152</v>
      </c>
      <c r="C18" t="s">
        <v>80</v>
      </c>
      <c r="D18" t="s">
        <v>19</v>
      </c>
      <c r="E18" t="s">
        <v>20</v>
      </c>
      <c r="F18" t="s">
        <v>40</v>
      </c>
      <c r="G18" t="s">
        <v>41</v>
      </c>
      <c r="H18" t="s">
        <v>81</v>
      </c>
      <c r="I18">
        <v>25</v>
      </c>
      <c r="J18">
        <v>300</v>
      </c>
      <c r="K18">
        <v>400</v>
      </c>
      <c r="L18">
        <v>44578</v>
      </c>
      <c r="M18">
        <v>1</v>
      </c>
      <c r="N18">
        <f t="shared" ca="1" si="0"/>
        <v>33</v>
      </c>
    </row>
    <row r="19" spans="1:14" x14ac:dyDescent="0.25">
      <c r="A19" s="4">
        <v>18</v>
      </c>
      <c r="B19" s="6">
        <v>30183</v>
      </c>
      <c r="C19" t="s">
        <v>82</v>
      </c>
      <c r="D19" t="s">
        <v>13</v>
      </c>
      <c r="E19" t="s">
        <v>83</v>
      </c>
      <c r="F19" t="s">
        <v>26</v>
      </c>
      <c r="G19" t="s">
        <v>84</v>
      </c>
      <c r="H19" t="s">
        <v>85</v>
      </c>
      <c r="I19">
        <v>30</v>
      </c>
      <c r="J19">
        <v>200</v>
      </c>
      <c r="K19">
        <v>300</v>
      </c>
      <c r="L19">
        <v>44579</v>
      </c>
      <c r="M19">
        <v>0</v>
      </c>
      <c r="N19">
        <f t="shared" ca="1" si="0"/>
        <v>42</v>
      </c>
    </row>
    <row r="20" spans="1:14" x14ac:dyDescent="0.25">
      <c r="A20" s="4">
        <v>19</v>
      </c>
      <c r="B20" s="6">
        <v>32510</v>
      </c>
      <c r="C20" t="s">
        <v>86</v>
      </c>
      <c r="D20" t="s">
        <v>19</v>
      </c>
      <c r="E20" t="s">
        <v>30</v>
      </c>
      <c r="F20" t="s">
        <v>21</v>
      </c>
      <c r="G20" t="s">
        <v>87</v>
      </c>
      <c r="H20" t="s">
        <v>88</v>
      </c>
      <c r="I20">
        <v>18</v>
      </c>
      <c r="J20">
        <v>200</v>
      </c>
      <c r="K20">
        <v>250</v>
      </c>
      <c r="L20">
        <v>44580</v>
      </c>
      <c r="M20">
        <v>1</v>
      </c>
      <c r="N20">
        <f t="shared" ca="1" si="0"/>
        <v>35</v>
      </c>
    </row>
    <row r="21" spans="1:14" x14ac:dyDescent="0.25">
      <c r="A21" s="4">
        <v>20</v>
      </c>
      <c r="B21" s="6">
        <v>35902</v>
      </c>
      <c r="C21" t="s">
        <v>89</v>
      </c>
      <c r="D21" t="s">
        <v>13</v>
      </c>
      <c r="E21" t="s">
        <v>14</v>
      </c>
      <c r="F21" t="s">
        <v>36</v>
      </c>
      <c r="G21" t="s">
        <v>90</v>
      </c>
      <c r="H21" t="s">
        <v>91</v>
      </c>
      <c r="I21">
        <v>35</v>
      </c>
      <c r="J21">
        <v>50</v>
      </c>
      <c r="K21">
        <v>80</v>
      </c>
      <c r="L21">
        <v>44581</v>
      </c>
      <c r="M21">
        <v>1</v>
      </c>
      <c r="N21">
        <f t="shared" ca="1" si="0"/>
        <v>26</v>
      </c>
    </row>
    <row r="22" spans="1:14" x14ac:dyDescent="0.25">
      <c r="A22" s="4">
        <v>21</v>
      </c>
      <c r="B22" s="6">
        <v>34667</v>
      </c>
      <c r="C22" t="s">
        <v>92</v>
      </c>
      <c r="D22" t="s">
        <v>19</v>
      </c>
      <c r="E22" t="s">
        <v>93</v>
      </c>
      <c r="F22" t="s">
        <v>15</v>
      </c>
      <c r="G22" t="s">
        <v>16</v>
      </c>
      <c r="H22" t="s">
        <v>94</v>
      </c>
      <c r="I22">
        <v>22</v>
      </c>
      <c r="J22">
        <v>1200</v>
      </c>
      <c r="K22">
        <v>1500</v>
      </c>
      <c r="L22">
        <v>44582</v>
      </c>
      <c r="M22">
        <v>1</v>
      </c>
      <c r="N22">
        <f t="shared" ca="1" si="0"/>
        <v>29</v>
      </c>
    </row>
    <row r="23" spans="1:14" x14ac:dyDescent="0.25">
      <c r="A23" s="4">
        <v>22</v>
      </c>
      <c r="B23" s="6">
        <v>29378</v>
      </c>
      <c r="C23" t="s">
        <v>95</v>
      </c>
      <c r="D23" t="s">
        <v>13</v>
      </c>
      <c r="E23" t="s">
        <v>96</v>
      </c>
      <c r="F23" t="s">
        <v>40</v>
      </c>
      <c r="G23" t="s">
        <v>97</v>
      </c>
      <c r="H23" t="s">
        <v>98</v>
      </c>
      <c r="I23">
        <v>40</v>
      </c>
      <c r="J23">
        <v>600</v>
      </c>
      <c r="K23">
        <v>800</v>
      </c>
      <c r="L23">
        <v>44583</v>
      </c>
      <c r="M23">
        <v>0</v>
      </c>
      <c r="N23">
        <f t="shared" ca="1" si="0"/>
        <v>44</v>
      </c>
    </row>
    <row r="24" spans="1:14" x14ac:dyDescent="0.25">
      <c r="A24" s="4">
        <v>23</v>
      </c>
      <c r="B24" s="6">
        <v>32227</v>
      </c>
      <c r="C24" t="s">
        <v>99</v>
      </c>
      <c r="D24" t="s">
        <v>19</v>
      </c>
      <c r="E24" t="s">
        <v>56</v>
      </c>
      <c r="F24" t="s">
        <v>26</v>
      </c>
      <c r="G24" t="s">
        <v>27</v>
      </c>
      <c r="H24" t="s">
        <v>100</v>
      </c>
      <c r="I24">
        <v>16</v>
      </c>
      <c r="J24">
        <v>50</v>
      </c>
      <c r="K24">
        <v>70</v>
      </c>
      <c r="L24">
        <v>44584</v>
      </c>
      <c r="M24">
        <v>1</v>
      </c>
      <c r="N24">
        <f t="shared" ca="1" si="0"/>
        <v>36</v>
      </c>
    </row>
    <row r="25" spans="1:14" x14ac:dyDescent="0.25">
      <c r="A25" s="4">
        <v>24</v>
      </c>
      <c r="B25" s="6">
        <v>34224</v>
      </c>
      <c r="C25" t="s">
        <v>101</v>
      </c>
      <c r="D25" t="s">
        <v>13</v>
      </c>
      <c r="E25" t="s">
        <v>25</v>
      </c>
      <c r="F25" t="s">
        <v>21</v>
      </c>
      <c r="G25" t="s">
        <v>22</v>
      </c>
      <c r="H25" t="s">
        <v>23</v>
      </c>
      <c r="I25">
        <v>19</v>
      </c>
      <c r="J25">
        <v>25</v>
      </c>
      <c r="K25">
        <v>30</v>
      </c>
      <c r="L25">
        <v>44585</v>
      </c>
      <c r="M25">
        <v>1</v>
      </c>
      <c r="N25">
        <f t="shared" ca="1" si="0"/>
        <v>31</v>
      </c>
    </row>
    <row r="26" spans="1:14" x14ac:dyDescent="0.25">
      <c r="A26" s="4">
        <v>25</v>
      </c>
      <c r="B26" s="6">
        <v>31407</v>
      </c>
      <c r="C26" t="s">
        <v>102</v>
      </c>
      <c r="D26" t="s">
        <v>19</v>
      </c>
      <c r="E26" t="s">
        <v>73</v>
      </c>
      <c r="F26" t="s">
        <v>15</v>
      </c>
      <c r="G26" t="s">
        <v>103</v>
      </c>
      <c r="H26" t="s">
        <v>104</v>
      </c>
      <c r="I26">
        <v>21</v>
      </c>
      <c r="J26">
        <v>800</v>
      </c>
      <c r="K26">
        <v>1000</v>
      </c>
      <c r="L26">
        <v>44586</v>
      </c>
      <c r="M26">
        <v>0</v>
      </c>
      <c r="N26">
        <f t="shared" ca="1" si="0"/>
        <v>38</v>
      </c>
    </row>
    <row r="27" spans="1:14" x14ac:dyDescent="0.25">
      <c r="A27" s="4">
        <v>26</v>
      </c>
      <c r="B27" s="6">
        <v>30085</v>
      </c>
      <c r="C27" t="s">
        <v>105</v>
      </c>
      <c r="D27" t="s">
        <v>13</v>
      </c>
      <c r="E27" t="s">
        <v>14</v>
      </c>
      <c r="F27" t="s">
        <v>36</v>
      </c>
      <c r="G27" t="s">
        <v>49</v>
      </c>
      <c r="H27" t="s">
        <v>106</v>
      </c>
      <c r="I27">
        <v>20</v>
      </c>
      <c r="J27">
        <v>100</v>
      </c>
      <c r="K27">
        <v>150</v>
      </c>
      <c r="L27">
        <v>44587</v>
      </c>
      <c r="M27">
        <v>0</v>
      </c>
      <c r="N27">
        <f t="shared" ca="1" si="0"/>
        <v>42</v>
      </c>
    </row>
    <row r="28" spans="1:14" x14ac:dyDescent="0.25">
      <c r="A28" s="4">
        <v>27</v>
      </c>
      <c r="B28" s="6">
        <v>33503</v>
      </c>
      <c r="C28" t="s">
        <v>107</v>
      </c>
      <c r="D28" t="s">
        <v>19</v>
      </c>
      <c r="E28" t="s">
        <v>70</v>
      </c>
      <c r="F28" t="s">
        <v>40</v>
      </c>
      <c r="G28" t="s">
        <v>67</v>
      </c>
      <c r="H28" t="s">
        <v>108</v>
      </c>
      <c r="I28">
        <v>25</v>
      </c>
      <c r="J28">
        <v>500</v>
      </c>
      <c r="K28">
        <v>600</v>
      </c>
      <c r="L28">
        <v>44223</v>
      </c>
      <c r="M28">
        <v>1</v>
      </c>
      <c r="N28">
        <f t="shared" ca="1" si="0"/>
        <v>33</v>
      </c>
    </row>
    <row r="29" spans="1:14" x14ac:dyDescent="0.25">
      <c r="A29" s="4">
        <v>28</v>
      </c>
      <c r="B29" s="6">
        <v>31964</v>
      </c>
      <c r="C29" t="s">
        <v>109</v>
      </c>
      <c r="D29" t="s">
        <v>13</v>
      </c>
      <c r="E29" t="s">
        <v>110</v>
      </c>
      <c r="F29" t="s">
        <v>21</v>
      </c>
      <c r="G29" t="s">
        <v>53</v>
      </c>
      <c r="H29" t="s">
        <v>111</v>
      </c>
      <c r="I29">
        <v>30</v>
      </c>
      <c r="J29">
        <v>25</v>
      </c>
      <c r="K29">
        <v>40</v>
      </c>
      <c r="L29">
        <v>43493</v>
      </c>
      <c r="M29">
        <v>1</v>
      </c>
      <c r="N29">
        <f t="shared" ca="1" si="0"/>
        <v>37</v>
      </c>
    </row>
    <row r="30" spans="1:14" x14ac:dyDescent="0.25">
      <c r="A30" s="4">
        <v>29</v>
      </c>
      <c r="B30" s="6">
        <v>33653</v>
      </c>
      <c r="C30" t="s">
        <v>112</v>
      </c>
      <c r="D30" t="s">
        <v>19</v>
      </c>
      <c r="E30" t="s">
        <v>48</v>
      </c>
      <c r="F30" t="s">
        <v>15</v>
      </c>
      <c r="G30" t="s">
        <v>45</v>
      </c>
      <c r="H30" t="s">
        <v>113</v>
      </c>
      <c r="I30">
        <v>35</v>
      </c>
      <c r="J30">
        <v>1000</v>
      </c>
      <c r="K30">
        <v>1200</v>
      </c>
      <c r="L30">
        <v>43129</v>
      </c>
      <c r="M30">
        <v>1</v>
      </c>
      <c r="N30">
        <f t="shared" ca="1" si="0"/>
        <v>32</v>
      </c>
    </row>
    <row r="31" spans="1:14" x14ac:dyDescent="0.25">
      <c r="A31" s="4">
        <v>30</v>
      </c>
      <c r="B31" s="6">
        <v>30987</v>
      </c>
      <c r="C31" t="s">
        <v>114</v>
      </c>
      <c r="D31" t="s">
        <v>13</v>
      </c>
      <c r="E31" t="s">
        <v>115</v>
      </c>
      <c r="F31" t="s">
        <v>36</v>
      </c>
      <c r="G31" t="s">
        <v>116</v>
      </c>
      <c r="H31" t="s">
        <v>117</v>
      </c>
      <c r="I31">
        <v>40</v>
      </c>
      <c r="J31">
        <v>20</v>
      </c>
      <c r="K31">
        <v>30</v>
      </c>
      <c r="L31">
        <v>42765</v>
      </c>
      <c r="M31">
        <v>1</v>
      </c>
      <c r="N31">
        <f t="shared" ca="1" si="0"/>
        <v>39</v>
      </c>
    </row>
    <row r="32" spans="1:14" x14ac:dyDescent="0.25">
      <c r="A32" s="4">
        <v>31</v>
      </c>
      <c r="B32" s="6">
        <v>36323</v>
      </c>
      <c r="C32" t="s">
        <v>118</v>
      </c>
      <c r="D32" t="s">
        <v>19</v>
      </c>
      <c r="E32" t="s">
        <v>52</v>
      </c>
      <c r="F32" t="s">
        <v>26</v>
      </c>
      <c r="G32" t="s">
        <v>57</v>
      </c>
      <c r="H32" t="s">
        <v>119</v>
      </c>
      <c r="I32">
        <v>16</v>
      </c>
      <c r="J32">
        <v>15</v>
      </c>
      <c r="K32">
        <v>25</v>
      </c>
      <c r="L32">
        <v>42400</v>
      </c>
      <c r="M32">
        <v>0</v>
      </c>
      <c r="N32">
        <f t="shared" ca="1" si="0"/>
        <v>25</v>
      </c>
    </row>
    <row r="33" spans="1:14" x14ac:dyDescent="0.25">
      <c r="A33" s="4">
        <v>32</v>
      </c>
      <c r="B33" s="6">
        <v>30392</v>
      </c>
      <c r="C33" t="s">
        <v>120</v>
      </c>
      <c r="D33" t="s">
        <v>13</v>
      </c>
      <c r="E33" t="s">
        <v>30</v>
      </c>
      <c r="F33" t="s">
        <v>40</v>
      </c>
      <c r="G33" t="s">
        <v>41</v>
      </c>
      <c r="H33" t="s">
        <v>121</v>
      </c>
      <c r="I33">
        <v>22</v>
      </c>
      <c r="J33">
        <v>500</v>
      </c>
      <c r="K33">
        <v>600</v>
      </c>
      <c r="L33">
        <v>44593</v>
      </c>
      <c r="M33">
        <v>1</v>
      </c>
      <c r="N33">
        <f t="shared" ca="1" si="0"/>
        <v>41</v>
      </c>
    </row>
    <row r="34" spans="1:14" x14ac:dyDescent="0.25">
      <c r="A34" s="4">
        <v>33</v>
      </c>
      <c r="B34" s="6">
        <v>34190</v>
      </c>
      <c r="C34" t="s">
        <v>122</v>
      </c>
      <c r="D34" t="s">
        <v>19</v>
      </c>
      <c r="E34" t="s">
        <v>83</v>
      </c>
      <c r="F34" t="s">
        <v>21</v>
      </c>
      <c r="G34" t="s">
        <v>87</v>
      </c>
      <c r="H34" t="s">
        <v>123</v>
      </c>
      <c r="I34">
        <v>18</v>
      </c>
      <c r="J34">
        <v>150</v>
      </c>
      <c r="K34">
        <v>200</v>
      </c>
      <c r="L34">
        <v>44229</v>
      </c>
      <c r="M34">
        <v>1</v>
      </c>
      <c r="N34">
        <f t="shared" ca="1" si="0"/>
        <v>31</v>
      </c>
    </row>
    <row r="35" spans="1:14" x14ac:dyDescent="0.25">
      <c r="A35" s="4">
        <v>34</v>
      </c>
      <c r="B35" s="6">
        <v>32157</v>
      </c>
      <c r="C35" t="s">
        <v>12</v>
      </c>
      <c r="D35" t="s">
        <v>13</v>
      </c>
      <c r="E35" t="s">
        <v>77</v>
      </c>
      <c r="F35" t="s">
        <v>15</v>
      </c>
      <c r="G35" t="s">
        <v>61</v>
      </c>
      <c r="H35" t="s">
        <v>124</v>
      </c>
      <c r="I35">
        <v>21</v>
      </c>
      <c r="J35">
        <v>300</v>
      </c>
      <c r="K35">
        <v>350</v>
      </c>
      <c r="L35">
        <v>43499</v>
      </c>
      <c r="M35">
        <v>0</v>
      </c>
      <c r="N35">
        <f t="shared" ca="1" si="0"/>
        <v>36</v>
      </c>
    </row>
    <row r="36" spans="1:14" x14ac:dyDescent="0.25">
      <c r="A36" s="4">
        <v>35</v>
      </c>
      <c r="B36" s="6">
        <v>32991</v>
      </c>
      <c r="C36" t="s">
        <v>125</v>
      </c>
      <c r="D36" t="s">
        <v>19</v>
      </c>
      <c r="E36" t="s">
        <v>83</v>
      </c>
      <c r="F36" t="s">
        <v>21</v>
      </c>
      <c r="G36" t="s">
        <v>87</v>
      </c>
      <c r="H36" t="s">
        <v>117</v>
      </c>
      <c r="I36">
        <v>18</v>
      </c>
      <c r="J36">
        <v>150</v>
      </c>
      <c r="K36">
        <v>200</v>
      </c>
      <c r="L36">
        <v>43499</v>
      </c>
      <c r="M36">
        <v>1</v>
      </c>
      <c r="N36">
        <f t="shared" ca="1" si="0"/>
        <v>34</v>
      </c>
    </row>
  </sheetData>
  <hyperlinks>
    <hyperlink ref="C2" r:id="rId1" xr:uid="{97D99DDC-CFD7-47E0-A281-D2E91380BB09}"/>
  </hyperlinks>
  <pageMargins left="0.7" right="0.7" top="0.75" bottom="0.75" header="0.3" footer="0.3"/>
  <pageSetup paperSize="9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0597CC-3A80-4D4D-B0E9-FEA771B1B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NudadTech</dc:creator>
  <cp:lastModifiedBy>SLIME</cp:lastModifiedBy>
  <dcterms:created xsi:type="dcterms:W3CDTF">2023-03-03T13:26:49Z</dcterms:created>
  <dcterms:modified xsi:type="dcterms:W3CDTF">2024-10-02T06:32:40Z</dcterms:modified>
</cp:coreProperties>
</file>